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jensen/Downloads/"/>
    </mc:Choice>
  </mc:AlternateContent>
  <xr:revisionPtr revIDLastSave="0" documentId="8_{BC1CF654-CD06-9842-9E8A-AB1AD652EF4B}" xr6:coauthVersionLast="47" xr6:coauthVersionMax="47" xr10:uidLastSave="{00000000-0000-0000-0000-000000000000}"/>
  <bookViews>
    <workbookView xWindow="6860" yWindow="3100" windowWidth="27640" windowHeight="16680" xr2:uid="{01CB5FEA-BDB3-B246-A364-5BDB2525166E}"/>
  </bookViews>
  <sheets>
    <sheet name="PQ Form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71" i="1" l="1"/>
  <c r="A170" i="1"/>
  <c r="P165" i="1"/>
  <c r="L165" i="1"/>
  <c r="F165" i="1"/>
  <c r="D165" i="1"/>
  <c r="P163" i="1"/>
  <c r="P161" i="1"/>
  <c r="M147" i="1"/>
  <c r="K147" i="1"/>
  <c r="E147" i="1"/>
  <c r="M138" i="1"/>
  <c r="D140" i="1" s="1"/>
  <c r="K138" i="1"/>
  <c r="J138" i="1"/>
  <c r="O132" i="1"/>
  <c r="M132" i="1"/>
  <c r="K132" i="1"/>
  <c r="J132" i="1"/>
  <c r="D132" i="1"/>
  <c r="C132" i="1"/>
  <c r="A132" i="1"/>
  <c r="F126" i="1"/>
  <c r="D126" i="1"/>
  <c r="C126" i="1"/>
  <c r="A126" i="1"/>
  <c r="H119" i="1"/>
  <c r="F119" i="1"/>
  <c r="D167" i="1" s="1"/>
  <c r="D119" i="1"/>
  <c r="C119" i="1"/>
  <c r="A119" i="1"/>
  <c r="H112" i="1"/>
  <c r="F112" i="1"/>
  <c r="D112" i="1"/>
  <c r="C112" i="1"/>
  <c r="A112" i="1"/>
  <c r="F103" i="1"/>
  <c r="D103" i="1"/>
  <c r="C103" i="1"/>
  <c r="A103" i="1"/>
  <c r="R52" i="1"/>
  <c r="A37" i="1"/>
  <c r="D168" i="1" l="1"/>
  <c r="M164" i="1" l="1"/>
  <c r="M162" i="1" l="1"/>
</calcChain>
</file>

<file path=xl/sharedStrings.xml><?xml version="1.0" encoding="utf-8"?>
<sst xmlns="http://schemas.openxmlformats.org/spreadsheetml/2006/main" count="157" uniqueCount="101">
  <si>
    <t>Date of 2nd Meeting:</t>
  </si>
  <si>
    <t>Requested Documents:</t>
  </si>
  <si>
    <t>FAMILY INFORMATION</t>
  </si>
  <si>
    <t>Your Name</t>
  </si>
  <si>
    <t>Nickname</t>
  </si>
  <si>
    <t>Last Name</t>
  </si>
  <si>
    <t>Marital Status</t>
  </si>
  <si>
    <t>Date of Birth</t>
  </si>
  <si>
    <t>Age</t>
  </si>
  <si>
    <t>Spouse's Name</t>
  </si>
  <si>
    <t>Internal</t>
  </si>
  <si>
    <t>Years Married</t>
  </si>
  <si>
    <t>Residence Address</t>
  </si>
  <si>
    <t>City</t>
  </si>
  <si>
    <t>State</t>
  </si>
  <si>
    <t>Zip Code</t>
  </si>
  <si>
    <t>Country</t>
  </si>
  <si>
    <t>Notes</t>
  </si>
  <si>
    <t>Referred By:</t>
  </si>
  <si>
    <t>Client Name</t>
  </si>
  <si>
    <t>Children &amp; Grandchildren:</t>
  </si>
  <si>
    <t>Child's Name &amp; Age</t>
  </si>
  <si>
    <t>Total # of Grandchildren</t>
  </si>
  <si>
    <t>Notes:</t>
  </si>
  <si>
    <t>OCCUPATION</t>
  </si>
  <si>
    <t>Your Job Title</t>
  </si>
  <si>
    <t>Employer (Last, if Retired)</t>
  </si>
  <si>
    <t># of Years</t>
  </si>
  <si>
    <t>Retirement Age</t>
  </si>
  <si>
    <t>Spouse's Job Title</t>
  </si>
  <si>
    <t>ADVISORS</t>
  </si>
  <si>
    <t>List your advisor information &amp; indicate if you have a preference or a commitment to this advisor by checking the appropriate box.</t>
  </si>
  <si>
    <t>Advisor</t>
  </si>
  <si>
    <t>Firm Name</t>
  </si>
  <si>
    <t>Attorney's Name</t>
  </si>
  <si>
    <t>Accountant's Name</t>
  </si>
  <si>
    <t>Insurance Agent's Name</t>
  </si>
  <si>
    <t xml:space="preserve">Falcon Wealth Planning  </t>
  </si>
  <si>
    <t>Internal Use Only</t>
  </si>
  <si>
    <t>ParaPlanner</t>
  </si>
  <si>
    <t>REAL ESTATE ASSETS</t>
  </si>
  <si>
    <t>Description</t>
  </si>
  <si>
    <t>Market Value</t>
  </si>
  <si>
    <t>Liabilities</t>
  </si>
  <si>
    <t>Income</t>
  </si>
  <si>
    <t>Acquisition</t>
  </si>
  <si>
    <t>Ownership</t>
  </si>
  <si>
    <t>Amount</t>
  </si>
  <si>
    <t>Rate/Term</t>
  </si>
  <si>
    <t>PMT</t>
  </si>
  <si>
    <t>EBT</t>
  </si>
  <si>
    <t>Year</t>
  </si>
  <si>
    <t>Purchase</t>
  </si>
  <si>
    <t>Additions</t>
  </si>
  <si>
    <t>DEFERRED RETIREMENT ACCOUNTS/QUALIFIED ANNUITIES</t>
  </si>
  <si>
    <t>Custodian</t>
  </si>
  <si>
    <t>Company Match</t>
  </si>
  <si>
    <t>Type</t>
  </si>
  <si>
    <t>Beneficiary</t>
  </si>
  <si>
    <t xml:space="preserve"> </t>
  </si>
  <si>
    <t>ROTH &amp; AFTER-TAX ACCOUNTS</t>
  </si>
  <si>
    <t>ER Contr. / 5 Years?</t>
  </si>
  <si>
    <t>INVESTMENT ASSETS/NON-QUALIFIED ANNUITIES/CRYPTO</t>
  </si>
  <si>
    <t>Cost Basis</t>
  </si>
  <si>
    <t>CASH &amp; CDs</t>
  </si>
  <si>
    <t>BUSINESS &amp; OTHER</t>
  </si>
  <si>
    <t>Please list any cash as Business Cash</t>
  </si>
  <si>
    <t>Int. Rate</t>
  </si>
  <si>
    <t>Owner</t>
  </si>
  <si>
    <t>Market     Value</t>
  </si>
  <si>
    <t>NOTES</t>
  </si>
  <si>
    <t>OTHER LIABILITIES</t>
  </si>
  <si>
    <t>Term/PMT</t>
  </si>
  <si>
    <t>TOTAL NET WORTH</t>
  </si>
  <si>
    <t>INSURANCE INFORMATION</t>
  </si>
  <si>
    <t>Company</t>
  </si>
  <si>
    <t>Death/Daily Benefit</t>
  </si>
  <si>
    <t>Insured</t>
  </si>
  <si>
    <t>Policy Date</t>
  </si>
  <si>
    <t>Annual Premium</t>
  </si>
  <si>
    <t>Cash Value</t>
  </si>
  <si>
    <t>TOTAL</t>
  </si>
  <si>
    <t>INCOME &amp; TAX INFORMATION</t>
  </si>
  <si>
    <t>Current Amount</t>
  </si>
  <si>
    <t>Future Retirement Amount</t>
  </si>
  <si>
    <t>Type/Start Date</t>
  </si>
  <si>
    <t>Survivor
COLA%</t>
  </si>
  <si>
    <t>Cap Loss Carry Forward</t>
  </si>
  <si>
    <t>Annual Expenses</t>
  </si>
  <si>
    <t>Filing Status</t>
  </si>
  <si>
    <t>Taxes</t>
  </si>
  <si>
    <t>Federal Tax</t>
  </si>
  <si>
    <t>Taxable Income</t>
  </si>
  <si>
    <t>State Tax</t>
  </si>
  <si>
    <t>Itemized Ded.</t>
  </si>
  <si>
    <t>FICA Tax</t>
  </si>
  <si>
    <t>TAX-DEFERRED CONTRIBUTIONS:</t>
  </si>
  <si>
    <t>TOTAL SAVINGS</t>
  </si>
  <si>
    <t>TOTAL CASH FLOW +/-</t>
  </si>
  <si>
    <t>GOALS</t>
  </si>
  <si>
    <t>CONCERNS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</si>
</sst>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00%"/>
  </numFmts>
  <fonts count="3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Segoe UI"/>
      <charset val="1"/>
    </font>
    <font>
      <sz val="11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28"/>
      <name val="Arial Narrow"/>
      <family val="2"/>
    </font>
    <font>
      <sz val="9"/>
      <color theme="1"/>
      <name val="Calibri"/>
      <family val="2"/>
      <scheme val="minor"/>
    </font>
    <font>
      <sz val="11"/>
      <color theme="0"/>
      <name val="Georgia"/>
      <family val="1"/>
    </font>
    <font>
      <b/>
      <sz val="11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4"/>
      <name val="Calibri"/>
      <family val="2"/>
      <scheme val="minor"/>
    </font>
    <font>
      <sz val="9"/>
      <name val="Calibri"/>
      <family val="2"/>
      <scheme val="minor"/>
    </font>
    <font>
      <sz val="11"/>
      <color rgb="FF182E3F"/>
      <name val="Georgia"/>
      <family val="1"/>
    </font>
    <font>
      <b/>
      <sz val="12"/>
      <color theme="4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2.5"/>
      <color theme="4"/>
      <name val="Calibri"/>
      <family val="2"/>
      <scheme val="minor"/>
    </font>
    <font>
      <i/>
      <sz val="7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12.5"/>
      <color theme="1"/>
      <name val="Calibri"/>
      <family val="2"/>
      <scheme val="minor"/>
    </font>
    <font>
      <sz val="7"/>
      <color rgb="FF182E3F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7"/>
      <color theme="1" tint="0.499984740745262"/>
      <name val="Wingdings 3"/>
      <family val="1"/>
      <charset val="2"/>
    </font>
    <font>
      <sz val="9"/>
      <color theme="1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82E3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theme="1" tint="0.34998626667073579"/>
      </left>
      <right/>
      <top style="thin">
        <color indexed="64"/>
      </top>
      <bottom style="thin">
        <color theme="1" tint="0.34998626667073579"/>
      </bottom>
      <diagonal/>
    </border>
    <border>
      <left/>
      <right/>
      <top style="thin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Protection="1">
      <protection locked="0"/>
    </xf>
    <xf numFmtId="0" fontId="7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9" fillId="3" borderId="2" xfId="0" applyFont="1" applyFill="1" applyBorder="1" applyAlignment="1" applyProtection="1">
      <alignment horizontal="left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Protection="1">
      <protection locked="0"/>
    </xf>
    <xf numFmtId="14" fontId="7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5" xfId="0" applyFont="1" applyBorder="1" applyProtection="1"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7" fillId="0" borderId="6" xfId="0" applyFont="1" applyBorder="1" applyAlignment="1" applyProtection="1">
      <alignment horizontal="left"/>
      <protection locked="0"/>
    </xf>
    <xf numFmtId="0" fontId="7" fillId="0" borderId="5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11" fillId="2" borderId="0" xfId="0" applyFont="1" applyFill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vertical="center"/>
      <protection locked="0"/>
    </xf>
    <xf numFmtId="0" fontId="7" fillId="0" borderId="7" xfId="0" applyFont="1" applyBorder="1" applyAlignment="1" applyProtection="1">
      <alignment horizontal="left"/>
      <protection locked="0"/>
    </xf>
    <xf numFmtId="0" fontId="8" fillId="3" borderId="8" xfId="0" applyFont="1" applyFill="1" applyBorder="1" applyAlignment="1" applyProtection="1">
      <alignment horizontal="left" vertical="center"/>
      <protection locked="0"/>
    </xf>
    <xf numFmtId="0" fontId="9" fillId="3" borderId="9" xfId="0" applyFont="1" applyFill="1" applyBorder="1" applyAlignment="1" applyProtection="1">
      <alignment horizontal="left" vertical="center"/>
      <protection locked="0"/>
    </xf>
    <xf numFmtId="0" fontId="9" fillId="3" borderId="10" xfId="0" applyFont="1" applyFill="1" applyBorder="1" applyAlignment="1" applyProtection="1">
      <alignment horizontal="left" vertical="center"/>
      <protection locked="0"/>
    </xf>
    <xf numFmtId="0" fontId="10" fillId="0" borderId="0" xfId="0" applyFont="1" applyProtection="1">
      <protection locked="0"/>
    </xf>
    <xf numFmtId="0" fontId="7" fillId="0" borderId="6" xfId="0" applyFont="1" applyBorder="1" applyAlignment="1" applyProtection="1">
      <alignment horizontal="left" wrapText="1"/>
      <protection locked="0"/>
    </xf>
    <xf numFmtId="0" fontId="12" fillId="0" borderId="0" xfId="0" applyFont="1" applyProtection="1">
      <protection locked="0"/>
    </xf>
    <xf numFmtId="0" fontId="10" fillId="0" borderId="11" xfId="0" applyFont="1" applyBorder="1" applyAlignment="1" applyProtection="1">
      <alignment horizontal="left"/>
      <protection locked="0"/>
    </xf>
    <xf numFmtId="0" fontId="7" fillId="4" borderId="12" xfId="0" applyFont="1" applyFill="1" applyBorder="1" applyProtection="1">
      <protection locked="0"/>
    </xf>
    <xf numFmtId="0" fontId="7" fillId="4" borderId="5" xfId="0" applyFont="1" applyFill="1" applyBorder="1" applyProtection="1">
      <protection locked="0"/>
    </xf>
    <xf numFmtId="0" fontId="7" fillId="4" borderId="13" xfId="0" applyFont="1" applyFill="1" applyBorder="1" applyProtection="1">
      <protection locked="0"/>
    </xf>
    <xf numFmtId="0" fontId="7" fillId="4" borderId="14" xfId="0" applyFont="1" applyFill="1" applyBorder="1" applyProtection="1">
      <protection locked="0"/>
    </xf>
    <xf numFmtId="0" fontId="7" fillId="4" borderId="0" xfId="0" applyFont="1" applyFill="1" applyProtection="1">
      <protection locked="0"/>
    </xf>
    <xf numFmtId="0" fontId="7" fillId="4" borderId="15" xfId="0" applyFont="1" applyFill="1" applyBorder="1" applyProtection="1">
      <protection locked="0"/>
    </xf>
    <xf numFmtId="0" fontId="7" fillId="4" borderId="16" xfId="0" applyFont="1" applyFill="1" applyBorder="1" applyProtection="1">
      <protection locked="0"/>
    </xf>
    <xf numFmtId="0" fontId="7" fillId="4" borderId="6" xfId="0" applyFont="1" applyFill="1" applyBorder="1" applyProtection="1">
      <protection locked="0"/>
    </xf>
    <xf numFmtId="0" fontId="7" fillId="4" borderId="17" xfId="0" applyFont="1" applyFill="1" applyBorder="1" applyProtection="1">
      <protection locked="0"/>
    </xf>
    <xf numFmtId="0" fontId="13" fillId="4" borderId="12" xfId="0" applyFont="1" applyFill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 applyProtection="1">
      <alignment horizontal="center"/>
      <protection locked="0"/>
    </xf>
    <xf numFmtId="0" fontId="13" fillId="4" borderId="13" xfId="0" applyFont="1" applyFill="1" applyBorder="1" applyAlignment="1" applyProtection="1">
      <alignment horizontal="center"/>
      <protection locked="0"/>
    </xf>
    <xf numFmtId="0" fontId="13" fillId="4" borderId="16" xfId="0" applyFont="1" applyFill="1" applyBorder="1" applyAlignment="1" applyProtection="1">
      <alignment horizontal="center" vertical="center"/>
      <protection locked="0"/>
    </xf>
    <xf numFmtId="0" fontId="13" fillId="4" borderId="6" xfId="0" applyFont="1" applyFill="1" applyBorder="1" applyAlignment="1" applyProtection="1">
      <alignment horizontal="center" vertical="center"/>
      <protection locked="0"/>
    </xf>
    <xf numFmtId="0" fontId="13" fillId="4" borderId="6" xfId="0" applyFont="1" applyFill="1" applyBorder="1" applyAlignment="1" applyProtection="1">
      <alignment horizontal="center"/>
      <protection locked="0"/>
    </xf>
    <xf numFmtId="0" fontId="13" fillId="4" borderId="17" xfId="0" applyFont="1" applyFill="1" applyBorder="1" applyAlignment="1" applyProtection="1">
      <alignment horizontal="center"/>
      <protection locked="0"/>
    </xf>
    <xf numFmtId="0" fontId="14" fillId="0" borderId="6" xfId="0" applyFont="1" applyBorder="1" applyAlignment="1" applyProtection="1">
      <alignment horizontal="left"/>
      <protection locked="0"/>
    </xf>
    <xf numFmtId="0" fontId="4" fillId="2" borderId="6" xfId="0" applyFont="1" applyFill="1" applyBorder="1" applyAlignment="1" applyProtection="1">
      <alignment horizontal="left" wrapText="1"/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7" fillId="3" borderId="18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7" fillId="3" borderId="20" xfId="0" applyFont="1" applyFill="1" applyBorder="1" applyAlignment="1" applyProtection="1">
      <alignment horizontal="center" vertical="center"/>
      <protection locked="0"/>
    </xf>
    <xf numFmtId="0" fontId="19" fillId="3" borderId="16" xfId="0" applyFont="1" applyFill="1" applyBorder="1" applyAlignment="1" applyProtection="1">
      <alignment horizontal="center" vertical="center"/>
      <protection locked="0"/>
    </xf>
    <xf numFmtId="0" fontId="19" fillId="3" borderId="6" xfId="0" applyFont="1" applyFill="1" applyBorder="1" applyAlignment="1" applyProtection="1">
      <alignment horizontal="center" vertical="center"/>
      <protection locked="0"/>
    </xf>
    <xf numFmtId="0" fontId="19" fillId="3" borderId="6" xfId="0" applyFont="1" applyFill="1" applyBorder="1" applyAlignment="1" applyProtection="1">
      <alignment horizontal="center" vertical="center"/>
      <protection locked="0"/>
    </xf>
    <xf numFmtId="0" fontId="19" fillId="3" borderId="17" xfId="0" applyFont="1" applyFill="1" applyBorder="1" applyAlignment="1" applyProtection="1">
      <alignment horizontal="center" vertical="center"/>
      <protection locked="0"/>
    </xf>
    <xf numFmtId="0" fontId="17" fillId="3" borderId="21" xfId="0" applyFont="1" applyFill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left" vertical="center"/>
      <protection locked="0"/>
    </xf>
    <xf numFmtId="164" fontId="11" fillId="0" borderId="18" xfId="0" applyNumberFormat="1" applyFont="1" applyBorder="1" applyAlignment="1" applyProtection="1">
      <alignment horizontal="right" vertical="center"/>
      <protection locked="0"/>
    </xf>
    <xf numFmtId="164" fontId="11" fillId="0" borderId="22" xfId="0" applyNumberFormat="1" applyFont="1" applyBorder="1" applyAlignment="1" applyProtection="1">
      <alignment horizontal="right" vertical="center"/>
      <protection locked="0"/>
    </xf>
    <xf numFmtId="10" fontId="11" fillId="0" borderId="22" xfId="0" applyNumberFormat="1" applyFont="1" applyBorder="1" applyAlignment="1" applyProtection="1">
      <alignment horizontal="center" vertical="center"/>
      <protection locked="0"/>
    </xf>
    <xf numFmtId="1" fontId="11" fillId="0" borderId="22" xfId="0" applyNumberFormat="1" applyFont="1" applyBorder="1" applyAlignment="1" applyProtection="1">
      <alignment horizontal="center" vertical="center"/>
      <protection locked="0"/>
    </xf>
    <xf numFmtId="0" fontId="11" fillId="0" borderId="22" xfId="0" applyFont="1" applyBorder="1" applyAlignment="1" applyProtection="1">
      <alignment horizontal="center" vertical="center"/>
      <protection locked="0"/>
    </xf>
    <xf numFmtId="164" fontId="11" fillId="0" borderId="22" xfId="1" applyNumberFormat="1" applyFont="1" applyBorder="1" applyAlignment="1" applyProtection="1">
      <alignment horizontal="center" vertical="center"/>
      <protection locked="0"/>
    </xf>
    <xf numFmtId="164" fontId="11" fillId="0" borderId="22" xfId="0" applyNumberFormat="1" applyFont="1" applyBorder="1" applyAlignment="1" applyProtection="1">
      <alignment horizontal="right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1" fillId="0" borderId="20" xfId="0" applyFont="1" applyBorder="1" applyAlignment="1" applyProtection="1">
      <alignment horizontal="left" vertical="center"/>
      <protection locked="0"/>
    </xf>
    <xf numFmtId="0" fontId="11" fillId="0" borderId="23" xfId="0" applyFont="1" applyBorder="1" applyAlignment="1" applyProtection="1">
      <alignment horizontal="left" vertical="center"/>
      <protection locked="0"/>
    </xf>
    <xf numFmtId="0" fontId="11" fillId="0" borderId="21" xfId="0" applyFont="1" applyBorder="1" applyAlignment="1" applyProtection="1">
      <alignment horizontal="left" vertical="center"/>
      <protection locked="0"/>
    </xf>
    <xf numFmtId="164" fontId="11" fillId="0" borderId="18" xfId="0" applyNumberFormat="1" applyFont="1" applyBorder="1" applyAlignment="1" applyProtection="1">
      <alignment horizontal="right" vertical="center"/>
      <protection locked="0"/>
    </xf>
    <xf numFmtId="10" fontId="11" fillId="0" borderId="20" xfId="0" applyNumberFormat="1" applyFont="1" applyBorder="1" applyAlignment="1" applyProtection="1">
      <alignment horizontal="center" vertical="center"/>
      <protection locked="0"/>
    </xf>
    <xf numFmtId="10" fontId="11" fillId="0" borderId="21" xfId="0" applyNumberFormat="1" applyFont="1" applyBorder="1" applyAlignment="1" applyProtection="1">
      <alignment horizontal="center" vertical="center"/>
      <protection locked="0"/>
    </xf>
    <xf numFmtId="1" fontId="11" fillId="0" borderId="18" xfId="0" applyNumberFormat="1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164" fontId="11" fillId="0" borderId="18" xfId="1" applyNumberFormat="1" applyFont="1" applyBorder="1" applyAlignment="1" applyProtection="1">
      <alignment horizontal="center" vertical="center"/>
      <protection locked="0"/>
    </xf>
    <xf numFmtId="164" fontId="11" fillId="0" borderId="20" xfId="0" applyNumberFormat="1" applyFont="1" applyBorder="1" applyAlignment="1" applyProtection="1">
      <alignment horizontal="right" vertical="center"/>
      <protection locked="0"/>
    </xf>
    <xf numFmtId="164" fontId="11" fillId="0" borderId="21" xfId="0" applyNumberFormat="1" applyFont="1" applyBorder="1" applyAlignment="1" applyProtection="1">
      <alignment horizontal="right" vertical="center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11" fillId="0" borderId="23" xfId="0" applyFont="1" applyBorder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center" vertical="center"/>
      <protection locked="0"/>
    </xf>
    <xf numFmtId="10" fontId="11" fillId="0" borderId="18" xfId="0" applyNumberFormat="1" applyFont="1" applyBorder="1" applyAlignment="1" applyProtection="1">
      <alignment horizontal="center" vertical="center"/>
      <protection locked="0"/>
    </xf>
    <xf numFmtId="165" fontId="11" fillId="0" borderId="18" xfId="0" applyNumberFormat="1" applyFont="1" applyBorder="1" applyAlignment="1" applyProtection="1">
      <alignment horizontal="center" vertical="center"/>
      <protection locked="0"/>
    </xf>
    <xf numFmtId="0" fontId="20" fillId="0" borderId="20" xfId="0" applyFont="1" applyBorder="1" applyAlignment="1" applyProtection="1">
      <alignment horizontal="left" vertical="center"/>
      <protection locked="0"/>
    </xf>
    <xf numFmtId="0" fontId="20" fillId="0" borderId="23" xfId="0" applyFont="1" applyBorder="1" applyAlignment="1" applyProtection="1">
      <alignment horizontal="left" vertical="center"/>
      <protection locked="0"/>
    </xf>
    <xf numFmtId="164" fontId="20" fillId="0" borderId="21" xfId="0" applyNumberFormat="1" applyFont="1" applyBorder="1" applyAlignment="1" applyProtection="1">
      <alignment horizontal="right" vertical="center"/>
      <protection locked="0"/>
    </xf>
    <xf numFmtId="164" fontId="20" fillId="0" borderId="6" xfId="0" applyNumberFormat="1" applyFont="1" applyBorder="1" applyAlignment="1">
      <alignment horizontal="right" vertical="center"/>
    </xf>
    <xf numFmtId="164" fontId="20" fillId="0" borderId="6" xfId="0" applyNumberFormat="1" applyFont="1" applyBorder="1" applyAlignment="1">
      <alignment horizontal="right" vertical="center"/>
    </xf>
    <xf numFmtId="10" fontId="20" fillId="0" borderId="6" xfId="0" applyNumberFormat="1" applyFont="1" applyBorder="1" applyAlignment="1" applyProtection="1">
      <alignment horizontal="center" vertical="center"/>
      <protection locked="0"/>
    </xf>
    <xf numFmtId="10" fontId="20" fillId="0" borderId="6" xfId="0" applyNumberFormat="1" applyFont="1" applyBorder="1" applyAlignment="1" applyProtection="1">
      <alignment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164" fontId="20" fillId="0" borderId="6" xfId="0" applyNumberFormat="1" applyFont="1" applyBorder="1" applyAlignment="1" applyProtection="1">
      <alignment horizontal="right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4" fillId="0" borderId="23" xfId="0" applyFont="1" applyBorder="1" applyAlignment="1" applyProtection="1">
      <alignment horizontal="left"/>
      <protection locked="0"/>
    </xf>
    <xf numFmtId="0" fontId="21" fillId="0" borderId="0" xfId="0" applyFont="1" applyProtection="1">
      <protection locked="0"/>
    </xf>
    <xf numFmtId="0" fontId="17" fillId="3" borderId="18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/>
      <protection locked="0"/>
    </xf>
    <xf numFmtId="164" fontId="11" fillId="0" borderId="19" xfId="0" applyNumberFormat="1" applyFont="1" applyBorder="1" applyAlignment="1" applyProtection="1">
      <alignment horizontal="right" vertical="center"/>
      <protection locked="0"/>
    </xf>
    <xf numFmtId="0" fontId="11" fillId="0" borderId="19" xfId="0" applyFont="1" applyBorder="1" applyAlignment="1" applyProtection="1">
      <alignment horizontal="center" vertical="center"/>
      <protection locked="0"/>
    </xf>
    <xf numFmtId="164" fontId="20" fillId="0" borderId="21" xfId="0" applyNumberFormat="1" applyFont="1" applyBorder="1" applyAlignment="1" applyProtection="1">
      <alignment vertical="center"/>
      <protection locked="0"/>
    </xf>
    <xf numFmtId="164" fontId="20" fillId="0" borderId="20" xfId="0" applyNumberFormat="1" applyFont="1" applyBorder="1" applyAlignment="1">
      <alignment horizontal="right" vertical="center"/>
    </xf>
    <xf numFmtId="164" fontId="20" fillId="0" borderId="23" xfId="0" applyNumberFormat="1" applyFont="1" applyBorder="1" applyAlignment="1">
      <alignment horizontal="right" vertical="center"/>
    </xf>
    <xf numFmtId="0" fontId="20" fillId="0" borderId="23" xfId="0" applyFont="1" applyBorder="1" applyAlignment="1" applyProtection="1">
      <alignment horizontal="center" vertical="center"/>
      <protection locked="0"/>
    </xf>
    <xf numFmtId="0" fontId="20" fillId="0" borderId="21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4" fillId="0" borderId="23" xfId="0" applyFont="1" applyBorder="1" applyAlignment="1" applyProtection="1">
      <alignment horizontal="left" wrapText="1"/>
      <protection locked="0"/>
    </xf>
    <xf numFmtId="0" fontId="4" fillId="2" borderId="23" xfId="0" applyFont="1" applyFill="1" applyBorder="1" applyAlignment="1" applyProtection="1">
      <alignment horizontal="left" wrapText="1"/>
      <protection locked="0"/>
    </xf>
    <xf numFmtId="0" fontId="21" fillId="0" borderId="0" xfId="0" applyFont="1" applyAlignment="1" applyProtection="1">
      <alignment horizontal="left"/>
      <protection locked="0"/>
    </xf>
    <xf numFmtId="0" fontId="11" fillId="0" borderId="18" xfId="2" applyNumberFormat="1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left"/>
      <protection locked="0"/>
    </xf>
    <xf numFmtId="0" fontId="4" fillId="5" borderId="9" xfId="0" applyFont="1" applyFill="1" applyBorder="1" applyAlignment="1" applyProtection="1">
      <alignment horizontal="left" wrapText="1"/>
      <protection locked="0"/>
    </xf>
    <xf numFmtId="164" fontId="11" fillId="0" borderId="18" xfId="0" applyNumberFormat="1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left"/>
      <protection locked="0"/>
    </xf>
    <xf numFmtId="0" fontId="4" fillId="2" borderId="9" xfId="0" applyFont="1" applyFill="1" applyBorder="1" applyAlignment="1" applyProtection="1">
      <alignment horizontal="left" wrapText="1"/>
      <protection locked="0"/>
    </xf>
    <xf numFmtId="0" fontId="22" fillId="2" borderId="9" xfId="0" applyFont="1" applyFill="1" applyBorder="1" applyAlignment="1" applyProtection="1">
      <alignment horizontal="center" wrapText="1"/>
      <protection locked="0"/>
    </xf>
    <xf numFmtId="0" fontId="4" fillId="2" borderId="9" xfId="0" applyFont="1" applyFill="1" applyBorder="1" applyAlignment="1" applyProtection="1">
      <alignment horizontal="center" wrapText="1"/>
      <protection locked="0"/>
    </xf>
    <xf numFmtId="0" fontId="17" fillId="3" borderId="18" xfId="0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0" fontId="11" fillId="0" borderId="18" xfId="0" applyNumberFormat="1" applyFont="1" applyBorder="1" applyAlignment="1" applyProtection="1">
      <alignment horizontal="center" vertical="center"/>
      <protection locked="0"/>
    </xf>
    <xf numFmtId="164" fontId="20" fillId="0" borderId="5" xfId="0" applyNumberFormat="1" applyFont="1" applyBorder="1" applyAlignment="1">
      <alignment horizontal="right" vertical="center"/>
    </xf>
    <xf numFmtId="10" fontId="20" fillId="0" borderId="5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20" xfId="0" applyFont="1" applyBorder="1" applyAlignment="1" applyProtection="1">
      <alignment vertical="center"/>
      <protection locked="0"/>
    </xf>
    <xf numFmtId="164" fontId="20" fillId="0" borderId="23" xfId="0" applyNumberFormat="1" applyFont="1" applyBorder="1" applyAlignment="1" applyProtection="1">
      <alignment horizontal="right" vertical="center"/>
      <protection locked="0"/>
    </xf>
    <xf numFmtId="164" fontId="20" fillId="0" borderId="21" xfId="0" applyNumberFormat="1" applyFont="1" applyBorder="1" applyAlignment="1" applyProtection="1">
      <alignment horizontal="right" vertical="center"/>
      <protection locked="0"/>
    </xf>
    <xf numFmtId="0" fontId="20" fillId="0" borderId="21" xfId="0" applyFont="1" applyBorder="1" applyAlignment="1" applyProtection="1">
      <alignment horizontal="center" vertical="center"/>
      <protection locked="0"/>
    </xf>
    <xf numFmtId="0" fontId="24" fillId="0" borderId="0" xfId="0" applyFont="1" applyProtection="1">
      <protection locked="0"/>
    </xf>
    <xf numFmtId="0" fontId="11" fillId="0" borderId="22" xfId="0" applyFont="1" applyBorder="1" applyAlignment="1" applyProtection="1">
      <alignment horizontal="left" vertical="center"/>
      <protection locked="0"/>
    </xf>
    <xf numFmtId="6" fontId="11" fillId="0" borderId="18" xfId="0" applyNumberFormat="1" applyFont="1" applyBorder="1" applyAlignment="1" applyProtection="1">
      <alignment horizontal="center" vertical="center"/>
      <protection locked="0"/>
    </xf>
    <xf numFmtId="10" fontId="20" fillId="0" borderId="23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164" fontId="20" fillId="0" borderId="21" xfId="0" applyNumberFormat="1" applyFont="1" applyBorder="1" applyAlignment="1">
      <alignment horizontal="right" vertical="center"/>
    </xf>
    <xf numFmtId="164" fontId="20" fillId="0" borderId="0" xfId="0" applyNumberFormat="1" applyFont="1" applyAlignment="1" applyProtection="1">
      <alignment vertical="center"/>
      <protection locked="0"/>
    </xf>
    <xf numFmtId="0" fontId="11" fillId="2" borderId="0" xfId="0" applyFont="1" applyFill="1" applyAlignment="1" applyProtection="1">
      <alignment horizontal="left" wrapText="1"/>
      <protection locked="0"/>
    </xf>
    <xf numFmtId="0" fontId="14" fillId="0" borderId="7" xfId="0" applyFont="1" applyBorder="1" applyAlignment="1" applyProtection="1">
      <alignment horizontal="left"/>
      <protection locked="0"/>
    </xf>
    <xf numFmtId="0" fontId="4" fillId="2" borderId="7" xfId="0" applyFont="1" applyFill="1" applyBorder="1" applyAlignment="1" applyProtection="1">
      <alignment horizontal="left" wrapText="1"/>
      <protection locked="0"/>
    </xf>
    <xf numFmtId="0" fontId="25" fillId="0" borderId="0" xfId="0" applyFont="1" applyProtection="1">
      <protection locked="0"/>
    </xf>
    <xf numFmtId="0" fontId="17" fillId="3" borderId="23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1" xfId="0" applyFont="1" applyFill="1" applyBorder="1" applyAlignment="1" applyProtection="1">
      <alignment horizontal="center" vertical="center" wrapText="1"/>
      <protection locked="0"/>
    </xf>
    <xf numFmtId="164" fontId="11" fillId="0" borderId="23" xfId="0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/>
      <protection locked="0"/>
    </xf>
    <xf numFmtId="0" fontId="11" fillId="0" borderId="23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20" xfId="0" applyFont="1" applyBorder="1" applyAlignment="1" applyProtection="1">
      <alignment vertical="center"/>
      <protection locked="0"/>
    </xf>
    <xf numFmtId="0" fontId="11" fillId="0" borderId="23" xfId="0" applyFont="1" applyBorder="1" applyAlignment="1" applyProtection="1">
      <alignment vertical="center"/>
      <protection locked="0"/>
    </xf>
    <xf numFmtId="0" fontId="11" fillId="0" borderId="21" xfId="0" applyFont="1" applyBorder="1" applyAlignment="1" applyProtection="1">
      <alignment vertical="center"/>
      <protection locked="0"/>
    </xf>
    <xf numFmtId="0" fontId="11" fillId="0" borderId="18" xfId="0" applyFont="1" applyBorder="1" applyAlignment="1" applyProtection="1">
      <alignment vertical="center"/>
      <protection locked="0"/>
    </xf>
    <xf numFmtId="0" fontId="26" fillId="2" borderId="0" xfId="0" applyFont="1" applyFill="1" applyAlignment="1" applyProtection="1">
      <alignment horizontal="left"/>
      <protection locked="0"/>
    </xf>
    <xf numFmtId="0" fontId="25" fillId="0" borderId="0" xfId="0" applyFont="1" applyAlignment="1" applyProtection="1">
      <alignment horizontal="left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10" fontId="11" fillId="0" borderId="20" xfId="0" applyNumberFormat="1" applyFont="1" applyBorder="1" applyAlignment="1" applyProtection="1">
      <alignment horizontal="center" vertical="center"/>
      <protection locked="0"/>
    </xf>
    <xf numFmtId="164" fontId="11" fillId="0" borderId="12" xfId="0" applyNumberFormat="1" applyFont="1" applyBorder="1" applyAlignment="1" applyProtection="1">
      <alignment horizontal="center" vertical="center"/>
      <protection locked="0"/>
    </xf>
    <xf numFmtId="164" fontId="11" fillId="0" borderId="5" xfId="0" applyNumberFormat="1" applyFont="1" applyBorder="1" applyAlignment="1" applyProtection="1">
      <alignment horizontal="center" vertical="center"/>
      <protection locked="0"/>
    </xf>
    <xf numFmtId="164" fontId="11" fillId="0" borderId="13" xfId="0" applyNumberFormat="1" applyFont="1" applyBorder="1" applyAlignment="1" applyProtection="1">
      <alignment horizontal="center" vertical="center"/>
      <protection locked="0"/>
    </xf>
    <xf numFmtId="164" fontId="11" fillId="0" borderId="12" xfId="0" applyNumberFormat="1" applyFont="1" applyBorder="1" applyAlignment="1" applyProtection="1">
      <alignment vertical="center"/>
      <protection locked="0"/>
    </xf>
    <xf numFmtId="164" fontId="11" fillId="0" borderId="5" xfId="0" applyNumberFormat="1" applyFont="1" applyBorder="1" applyAlignment="1" applyProtection="1">
      <alignment vertical="center"/>
      <protection locked="0"/>
    </xf>
    <xf numFmtId="164" fontId="11" fillId="0" borderId="13" xfId="0" applyNumberFormat="1" applyFont="1" applyBorder="1" applyAlignment="1" applyProtection="1">
      <alignment vertical="center"/>
      <protection locked="0"/>
    </xf>
    <xf numFmtId="164" fontId="11" fillId="0" borderId="16" xfId="0" applyNumberFormat="1" applyFont="1" applyBorder="1" applyAlignment="1" applyProtection="1">
      <alignment horizontal="center" vertical="center"/>
      <protection locked="0"/>
    </xf>
    <xf numFmtId="164" fontId="11" fillId="0" borderId="6" xfId="0" applyNumberFormat="1" applyFont="1" applyBorder="1" applyAlignment="1" applyProtection="1">
      <alignment horizontal="center" vertical="center"/>
      <protection locked="0"/>
    </xf>
    <xf numFmtId="164" fontId="11" fillId="0" borderId="17" xfId="0" applyNumberFormat="1" applyFont="1" applyBorder="1" applyAlignment="1" applyProtection="1">
      <alignment horizontal="center" vertical="center"/>
      <protection locked="0"/>
    </xf>
    <xf numFmtId="164" fontId="11" fillId="0" borderId="16" xfId="0" applyNumberFormat="1" applyFont="1" applyBorder="1" applyAlignment="1" applyProtection="1">
      <alignment vertical="center"/>
      <protection locked="0"/>
    </xf>
    <xf numFmtId="164" fontId="11" fillId="0" borderId="6" xfId="0" applyNumberFormat="1" applyFont="1" applyBorder="1" applyAlignment="1" applyProtection="1">
      <alignment vertical="center"/>
      <protection locked="0"/>
    </xf>
    <xf numFmtId="164" fontId="11" fillId="0" borderId="17" xfId="0" applyNumberFormat="1" applyFont="1" applyBorder="1" applyAlignment="1" applyProtection="1">
      <alignment vertical="center"/>
      <protection locked="0"/>
    </xf>
    <xf numFmtId="0" fontId="27" fillId="0" borderId="12" xfId="0" applyFont="1" applyBorder="1" applyAlignment="1" applyProtection="1">
      <alignment horizontal="center" vertical="top"/>
      <protection locked="0"/>
    </xf>
    <xf numFmtId="0" fontId="27" fillId="0" borderId="5" xfId="0" applyFont="1" applyBorder="1" applyAlignment="1" applyProtection="1">
      <alignment horizontal="center" vertical="top"/>
      <protection locked="0"/>
    </xf>
    <xf numFmtId="0" fontId="27" fillId="0" borderId="13" xfId="0" applyFont="1" applyBorder="1" applyAlignment="1" applyProtection="1">
      <alignment horizontal="center" vertical="top"/>
      <protection locked="0"/>
    </xf>
    <xf numFmtId="164" fontId="11" fillId="0" borderId="16" xfId="0" applyNumberFormat="1" applyFont="1" applyBorder="1" applyAlignment="1" applyProtection="1">
      <alignment horizontal="right" vertical="center"/>
      <protection locked="0"/>
    </xf>
    <xf numFmtId="164" fontId="11" fillId="0" borderId="6" xfId="0" applyNumberFormat="1" applyFont="1" applyBorder="1" applyAlignment="1" applyProtection="1">
      <alignment horizontal="right" vertical="center"/>
      <protection locked="0"/>
    </xf>
    <xf numFmtId="164" fontId="11" fillId="0" borderId="17" xfId="0" applyNumberFormat="1" applyFont="1" applyBorder="1" applyAlignment="1" applyProtection="1">
      <alignment horizontal="right" vertical="center"/>
      <protection locked="0"/>
    </xf>
    <xf numFmtId="10" fontId="11" fillId="0" borderId="12" xfId="0" applyNumberFormat="1" applyFont="1" applyBorder="1" applyAlignment="1" applyProtection="1">
      <alignment horizontal="center" vertical="center"/>
      <protection locked="0"/>
    </xf>
    <xf numFmtId="0" fontId="27" fillId="0" borderId="12" xfId="0" applyFont="1" applyBorder="1" applyAlignment="1" applyProtection="1">
      <alignment horizontal="center" vertical="center"/>
      <protection locked="0"/>
    </xf>
    <xf numFmtId="0" fontId="27" fillId="0" borderId="5" xfId="0" applyFont="1" applyBorder="1" applyAlignment="1" applyProtection="1">
      <alignment horizontal="center" vertical="center"/>
      <protection locked="0"/>
    </xf>
    <xf numFmtId="0" fontId="27" fillId="0" borderId="13" xfId="0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>
      <alignment horizontal="right" vertical="center"/>
    </xf>
    <xf numFmtId="164" fontId="23" fillId="0" borderId="20" xfId="0" applyNumberFormat="1" applyFont="1" applyBorder="1" applyAlignment="1" applyProtection="1">
      <alignment horizontal="right" vertical="center"/>
      <protection locked="0"/>
    </xf>
    <xf numFmtId="164" fontId="23" fillId="0" borderId="23" xfId="0" applyNumberFormat="1" applyFont="1" applyBorder="1" applyAlignment="1" applyProtection="1">
      <alignment horizontal="right" vertical="center"/>
      <protection locked="0"/>
    </xf>
    <xf numFmtId="164" fontId="23" fillId="0" borderId="20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1" xfId="0" applyNumberFormat="1" applyFont="1" applyBorder="1" applyAlignment="1" applyProtection="1">
      <alignment horizontal="center" vertical="center"/>
      <protection locked="0"/>
    </xf>
    <xf numFmtId="164" fontId="11" fillId="0" borderId="16" xfId="0" applyNumberFormat="1" applyFont="1" applyBorder="1" applyAlignment="1">
      <alignment horizontal="right" vertical="center"/>
    </xf>
    <xf numFmtId="164" fontId="11" fillId="0" borderId="6" xfId="0" applyNumberFormat="1" applyFont="1" applyBorder="1" applyAlignment="1">
      <alignment horizontal="right" vertical="center"/>
    </xf>
    <xf numFmtId="164" fontId="11" fillId="0" borderId="17" xfId="0" applyNumberFormat="1" applyFont="1" applyBorder="1" applyAlignment="1">
      <alignment horizontal="right" vertical="center"/>
    </xf>
    <xf numFmtId="0" fontId="23" fillId="0" borderId="0" xfId="0" applyFont="1" applyAlignment="1" applyProtection="1">
      <alignment horizontal="left" vertical="center"/>
      <protection locked="0"/>
    </xf>
    <xf numFmtId="164" fontId="23" fillId="0" borderId="0" xfId="0" applyNumberFormat="1" applyFont="1" applyAlignment="1" applyProtection="1">
      <alignment horizontal="right" vertical="center"/>
      <protection locked="0"/>
    </xf>
    <xf numFmtId="0" fontId="29" fillId="0" borderId="0" xfId="3" applyFont="1" applyBorder="1" applyAlignment="1" applyProtection="1">
      <alignment horizontal="center" vertical="center"/>
      <protection locked="0"/>
    </xf>
    <xf numFmtId="0" fontId="30" fillId="0" borderId="0" xfId="3" applyFont="1" applyAlignment="1" applyProtection="1">
      <alignment horizontal="left" vertical="top"/>
      <protection locked="0"/>
    </xf>
    <xf numFmtId="0" fontId="20" fillId="0" borderId="21" xfId="0" applyFont="1" applyBorder="1" applyAlignment="1" applyProtection="1">
      <alignment horizontal="left" vertical="center"/>
      <protection locked="0"/>
    </xf>
    <xf numFmtId="164" fontId="20" fillId="0" borderId="18" xfId="0" applyNumberFormat="1" applyFont="1" applyBorder="1" applyAlignment="1">
      <alignment horizontal="right" vertical="center"/>
    </xf>
    <xf numFmtId="0" fontId="20" fillId="0" borderId="18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left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6" xfId="0" applyFont="1" applyBorder="1" applyAlignment="1" applyProtection="1">
      <alignment horizontal="left"/>
      <protection locked="0"/>
    </xf>
    <xf numFmtId="0" fontId="11" fillId="0" borderId="7" xfId="0" applyFont="1" applyBorder="1" applyAlignment="1" applyProtection="1">
      <alignment horizontal="left"/>
      <protection locked="0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fmlaLink="'[1]Data and Fees'!$X$3" lockText="1" noThreeD="1"/>
</file>

<file path=xl/ctrlProps/ctrlProp23.xml><?xml version="1.0" encoding="utf-8"?>
<formControlPr xmlns="http://schemas.microsoft.com/office/spreadsheetml/2009/9/main" objectType="CheckBox" fmlaLink="'[1]Data and Fees'!$X$4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406400</xdr:colOff>
          <xdr:row>168</xdr:row>
          <xdr:rowOff>114300</xdr:rowOff>
        </xdr:from>
        <xdr:to>
          <xdr:col>11</xdr:col>
          <xdr:colOff>596900</xdr:colOff>
          <xdr:row>170</xdr:row>
          <xdr:rowOff>25400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899C153-44D2-A545-9666-C858239AFA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None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62</xdr:row>
          <xdr:rowOff>12700</xdr:rowOff>
        </xdr:from>
        <xdr:to>
          <xdr:col>10</xdr:col>
          <xdr:colOff>190500</xdr:colOff>
          <xdr:row>63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40D4F64-D825-3B44-A45B-0DC0AC5724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Radio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62</xdr:row>
          <xdr:rowOff>0</xdr:rowOff>
        </xdr:from>
        <xdr:to>
          <xdr:col>11</xdr:col>
          <xdr:colOff>177800</xdr:colOff>
          <xdr:row>63</xdr:row>
          <xdr:rowOff>25400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D797818E-BF95-B044-8667-1227C84A91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Class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177800</xdr:colOff>
          <xdr:row>62</xdr:row>
          <xdr:rowOff>12700</xdr:rowOff>
        </xdr:from>
        <xdr:to>
          <xdr:col>13</xdr:col>
          <xdr:colOff>50800</xdr:colOff>
          <xdr:row>63</xdr:row>
          <xdr:rowOff>25400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A623A10-F320-A744-AFEB-850A81EC9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Print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165100</xdr:colOff>
          <xdr:row>62</xdr:row>
          <xdr:rowOff>12700</xdr:rowOff>
        </xdr:from>
        <xdr:to>
          <xdr:col>14</xdr:col>
          <xdr:colOff>38100</xdr:colOff>
          <xdr:row>63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8872039-1F29-3846-A492-95D56C25E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TV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63500</xdr:colOff>
          <xdr:row>84</xdr:row>
          <xdr:rowOff>50800</xdr:rowOff>
        </xdr:from>
        <xdr:to>
          <xdr:col>16</xdr:col>
          <xdr:colOff>139700</xdr:colOff>
          <xdr:row>85</xdr:row>
          <xdr:rowOff>25400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9232B5B-5CED-E746-87FB-A6123EA947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63500</xdr:colOff>
          <xdr:row>86</xdr:row>
          <xdr:rowOff>38100</xdr:rowOff>
        </xdr:from>
        <xdr:to>
          <xdr:col>16</xdr:col>
          <xdr:colOff>139700</xdr:colOff>
          <xdr:row>87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82BE08E-E126-FC40-BB86-A5351E83D5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63500</xdr:colOff>
          <xdr:row>88</xdr:row>
          <xdr:rowOff>50800</xdr:rowOff>
        </xdr:from>
        <xdr:to>
          <xdr:col>16</xdr:col>
          <xdr:colOff>165100</xdr:colOff>
          <xdr:row>89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1469B3F8-8A6D-F04F-B705-7E32DA1D8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63500</xdr:colOff>
          <xdr:row>90</xdr:row>
          <xdr:rowOff>63500</xdr:rowOff>
        </xdr:from>
        <xdr:to>
          <xdr:col>16</xdr:col>
          <xdr:colOff>139700</xdr:colOff>
          <xdr:row>91</xdr:row>
          <xdr:rowOff>25400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86AF8256-F10F-7846-B70E-17438D15F3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Yes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84</xdr:row>
          <xdr:rowOff>25400</xdr:rowOff>
        </xdr:from>
        <xdr:to>
          <xdr:col>17</xdr:col>
          <xdr:colOff>558800</xdr:colOff>
          <xdr:row>85</xdr:row>
          <xdr:rowOff>25400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CD9EBC4B-F81D-2A41-9422-184C2D65BC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86</xdr:row>
          <xdr:rowOff>38100</xdr:rowOff>
        </xdr:from>
        <xdr:to>
          <xdr:col>17</xdr:col>
          <xdr:colOff>558800</xdr:colOff>
          <xdr:row>87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07F019B-4540-314F-AF50-543DD6E5DC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88900</xdr:colOff>
          <xdr:row>88</xdr:row>
          <xdr:rowOff>38100</xdr:rowOff>
        </xdr:from>
        <xdr:to>
          <xdr:col>17</xdr:col>
          <xdr:colOff>495300</xdr:colOff>
          <xdr:row>88</xdr:row>
          <xdr:rowOff>254000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E3F15CAE-EBA0-E041-9519-05E57E133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88900</xdr:colOff>
          <xdr:row>90</xdr:row>
          <xdr:rowOff>38100</xdr:rowOff>
        </xdr:from>
        <xdr:to>
          <xdr:col>17</xdr:col>
          <xdr:colOff>495300</xdr:colOff>
          <xdr:row>91</xdr:row>
          <xdr:rowOff>25400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6EE110D-7EB5-8B41-9A55-34B4FA67FA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63500</xdr:colOff>
          <xdr:row>62</xdr:row>
          <xdr:rowOff>12700</xdr:rowOff>
        </xdr:from>
        <xdr:to>
          <xdr:col>17</xdr:col>
          <xdr:colOff>215900</xdr:colOff>
          <xdr:row>63</xdr:row>
          <xdr:rowOff>25400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7015F067-274D-384A-B3C7-B41650E8B8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Web</a:t>
              </a:r>
            </a:p>
          </xdr:txBody>
        </xdr:sp>
        <xdr:clientData fLocksWithSheet="0"/>
      </xdr:twoCellAnchor>
    </mc:Choice>
    <mc:Fallback/>
  </mc:AlternateContent>
  <xdr:twoCellAnchor>
    <xdr:from>
      <xdr:col>2</xdr:col>
      <xdr:colOff>93024</xdr:colOff>
      <xdr:row>7</xdr:row>
      <xdr:rowOff>337292</xdr:rowOff>
    </xdr:from>
    <xdr:to>
      <xdr:col>15</xdr:col>
      <xdr:colOff>156524</xdr:colOff>
      <xdr:row>11</xdr:row>
      <xdr:rowOff>71746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F8C040-38D2-624E-90FF-85B3F53E4F2A}"/>
            </a:ext>
          </a:extLst>
        </xdr:cNvPr>
        <xdr:cNvSpPr txBox="1"/>
      </xdr:nvSpPr>
      <xdr:spPr>
        <a:xfrm>
          <a:off x="855024" y="1670792"/>
          <a:ext cx="5461000" cy="10044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latin typeface="Arial Narrow" panose="020B0606020202030204" pitchFamily="34" charset="0"/>
            </a:rPr>
            <a:t>Personal Financial Questionnaire </a:t>
          </a:r>
        </a:p>
      </xdr:txBody>
    </xdr:sp>
    <xdr:clientData/>
  </xdr:twoCellAnchor>
  <xdr:twoCellAnchor>
    <xdr:from>
      <xdr:col>0</xdr:col>
      <xdr:colOff>114300</xdr:colOff>
      <xdr:row>0</xdr:row>
      <xdr:rowOff>127000</xdr:rowOff>
    </xdr:from>
    <xdr:to>
      <xdr:col>17</xdr:col>
      <xdr:colOff>482600</xdr:colOff>
      <xdr:row>45</xdr:row>
      <xdr:rowOff>50800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30AE138-25C9-7541-98FC-65FBB239EC1F}"/>
            </a:ext>
          </a:extLst>
        </xdr:cNvPr>
        <xdr:cNvSpPr/>
      </xdr:nvSpPr>
      <xdr:spPr>
        <a:xfrm>
          <a:off x="114300" y="127000"/>
          <a:ext cx="6921500" cy="9004300"/>
        </a:xfrm>
        <a:prstGeom prst="rect">
          <a:avLst/>
        </a:prstGeom>
        <a:noFill/>
        <a:ln w="12700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40349</xdr:colOff>
      <xdr:row>1</xdr:row>
      <xdr:rowOff>76200</xdr:rowOff>
    </xdr:from>
    <xdr:to>
      <xdr:col>17</xdr:col>
      <xdr:colOff>393699</xdr:colOff>
      <xdr:row>44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5B9323E-3D8B-B04C-B5CA-576EB21A20DE}"/>
            </a:ext>
          </a:extLst>
        </xdr:cNvPr>
        <xdr:cNvSpPr/>
      </xdr:nvSpPr>
      <xdr:spPr>
        <a:xfrm>
          <a:off x="230849" y="266700"/>
          <a:ext cx="6716050" cy="8737600"/>
        </a:xfrm>
        <a:prstGeom prst="rect">
          <a:avLst/>
        </a:prstGeom>
        <a:noFill/>
        <a:ln w="12700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469900</xdr:colOff>
          <xdr:row>168</xdr:row>
          <xdr:rowOff>114300</xdr:rowOff>
        </xdr:from>
        <xdr:to>
          <xdr:col>5</xdr:col>
          <xdr:colOff>457200</xdr:colOff>
          <xdr:row>170</xdr:row>
          <xdr:rowOff>25400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544A673C-A94E-AC4A-8B18-1A3F8DE305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Social Security</a:t>
              </a:r>
            </a:p>
          </xdr:txBody>
        </xdr:sp>
        <xdr:clientData fLocksWithSheet="0"/>
      </xdr:twoCellAnchor>
    </mc:Choice>
    <mc:Fallback/>
  </mc:AlternateContent>
  <xdr:oneCellAnchor>
    <xdr:from>
      <xdr:col>3</xdr:col>
      <xdr:colOff>8440</xdr:colOff>
      <xdr:row>10</xdr:row>
      <xdr:rowOff>77395</xdr:rowOff>
    </xdr:from>
    <xdr:ext cx="4601909" cy="3074181"/>
    <xdr:pic>
      <xdr:nvPicPr>
        <xdr:cNvPr id="5" name="Picture 4">
          <a:extLst>
            <a:ext uri="{FF2B5EF4-FFF2-40B4-BE49-F238E27FC236}">
              <a16:creationId xmlns:a16="http://schemas.microsoft.com/office/drawing/2014/main" id="{9FFFDB7C-D538-404D-8D17-9E910D10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340" y="2490395"/>
          <a:ext cx="4601909" cy="3074181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431800</xdr:colOff>
          <xdr:row>168</xdr:row>
          <xdr:rowOff>114300</xdr:rowOff>
        </xdr:from>
        <xdr:to>
          <xdr:col>8</xdr:col>
          <xdr:colOff>88900</xdr:colOff>
          <xdr:row>170</xdr:row>
          <xdr:rowOff>25400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91CCAEE0-0A0F-3F4D-AB55-C2519BD50C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Public Pension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168</xdr:row>
          <xdr:rowOff>114300</xdr:rowOff>
        </xdr:from>
        <xdr:to>
          <xdr:col>11</xdr:col>
          <xdr:colOff>0</xdr:colOff>
          <xdr:row>170</xdr:row>
          <xdr:rowOff>25400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17FF761-13D5-D74C-BFCC-2D43AD4AA8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Private Pension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469900</xdr:colOff>
          <xdr:row>169</xdr:row>
          <xdr:rowOff>203200</xdr:rowOff>
        </xdr:from>
        <xdr:to>
          <xdr:col>5</xdr:col>
          <xdr:colOff>457200</xdr:colOff>
          <xdr:row>171</xdr:row>
          <xdr:rowOff>25400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14726554-A0EB-974A-8965-74D84D705C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Social Security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444500</xdr:colOff>
          <xdr:row>169</xdr:row>
          <xdr:rowOff>203200</xdr:rowOff>
        </xdr:from>
        <xdr:to>
          <xdr:col>8</xdr:col>
          <xdr:colOff>101600</xdr:colOff>
          <xdr:row>171</xdr:row>
          <xdr:rowOff>25400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24968DB4-E634-8C4B-954F-FC463B28CD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Public Pension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169</xdr:row>
          <xdr:rowOff>203200</xdr:rowOff>
        </xdr:from>
        <xdr:to>
          <xdr:col>10</xdr:col>
          <xdr:colOff>381000</xdr:colOff>
          <xdr:row>171</xdr:row>
          <xdr:rowOff>25400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B760AC99-DAFA-E341-9590-7BAC241D24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Private Pension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406400</xdr:colOff>
          <xdr:row>169</xdr:row>
          <xdr:rowOff>203200</xdr:rowOff>
        </xdr:from>
        <xdr:to>
          <xdr:col>11</xdr:col>
          <xdr:colOff>596900</xdr:colOff>
          <xdr:row>171</xdr:row>
          <xdr:rowOff>25400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C0DF6F2E-EB80-294C-935F-84D2D54066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None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101600</xdr:colOff>
          <xdr:row>168</xdr:row>
          <xdr:rowOff>127000</xdr:rowOff>
        </xdr:from>
        <xdr:to>
          <xdr:col>13</xdr:col>
          <xdr:colOff>355600</xdr:colOff>
          <xdr:row>170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B7464635-D533-AF4A-B76C-4B3D1F6DA0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Blind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101600</xdr:colOff>
          <xdr:row>169</xdr:row>
          <xdr:rowOff>190500</xdr:rowOff>
        </xdr:from>
        <xdr:to>
          <xdr:col>13</xdr:col>
          <xdr:colOff>355600</xdr:colOff>
          <xdr:row>171</xdr:row>
          <xdr:rowOff>12700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53EA74F6-C2B9-3340-B7AA-2D63E23FC7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Blind</a:t>
              </a:r>
            </a:p>
          </xdr:txBody>
        </xdr:sp>
        <xdr:clientData fLock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Volumes/falconwealthplanning/Shared/IMS-FalconWealthPlanning/Salesforce%20Documents/Accounts/1%20-%20Michael%20Jensen/Michael%20Jensen%20(DO%20NOT%20DELETE)/Forms/PQ%20&amp;%20Assessment%20-%20Last%20Name,%20First%20Name%20(6.22.26).xlsx" TargetMode="External"/><Relationship Id="rId2" Type="http://schemas.openxmlformats.org/officeDocument/2006/relationships/externalLinkPath" Target="/Volumes/falconwealthplanning/Shared/IMS-FalconWealthPlanning/Salesforce%20Documents/Accounts/1%20-%20Michael%20Jensen/Michael%20Jensen%20(DO%20NOT%20DELETE)/Forms/PQ%20&amp;%20Assessment%20-%20Last%20Name,%20First%20Name%20(6.22.26).xlsx" TargetMode="External"/><Relationship Id="rId1" Type="http://schemas.openxmlformats.org/officeDocument/2006/relationships/externalLinkPath" Target="/Volumes/falconwealthplanning/Shared/IMS-FalconWealthPlanning/Salesforce%20Documents/Accounts/1%20-%20Michael%20Jensen/Michael%20Jensen%20(DO%20NOT%20DELETE)/Forms/PQ%20&amp;%20Assessment%20-%20Last%20Name,%20First%20Name%20(6.22.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Q Form"/>
      <sheetName val="Overflow"/>
      <sheetName val="Business Info"/>
      <sheetName val="Assessment"/>
      <sheetName val="Data and Fees"/>
      <sheetName val="2026 Monetary Updates"/>
      <sheetName val="QA Internal"/>
      <sheetName val="Docs Received Reference"/>
      <sheetName val="Plan Order Form"/>
      <sheetName val="Rec. Form"/>
      <sheetName val="Client Transfer Form"/>
    </sheetNames>
    <sheetDataSet>
      <sheetData sheetId="0"/>
      <sheetData sheetId="1">
        <row r="10">
          <cell r="D10">
            <v>0</v>
          </cell>
        </row>
        <row r="19">
          <cell r="D19">
            <v>0</v>
          </cell>
          <cell r="F19">
            <v>0</v>
          </cell>
        </row>
        <row r="26">
          <cell r="D26">
            <v>0</v>
          </cell>
        </row>
        <row r="33">
          <cell r="D33">
            <v>0</v>
          </cell>
        </row>
        <row r="39">
          <cell r="M39">
            <v>0</v>
          </cell>
        </row>
        <row r="45">
          <cell r="D45">
            <v>0</v>
          </cell>
          <cell r="M45">
            <v>0</v>
          </cell>
        </row>
        <row r="47">
          <cell r="D47">
            <v>0</v>
          </cell>
        </row>
        <row r="54">
          <cell r="E54">
            <v>0</v>
          </cell>
        </row>
        <row r="63">
          <cell r="M63">
            <v>0</v>
          </cell>
        </row>
        <row r="65">
          <cell r="M65">
            <v>0</v>
          </cell>
        </row>
        <row r="66">
          <cell r="D66">
            <v>0</v>
          </cell>
          <cell r="P66">
            <v>0</v>
          </cell>
          <cell r="R66">
            <v>0</v>
          </cell>
        </row>
        <row r="68">
          <cell r="D6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3414-6456-DB41-9CAB-EBE50C734B41}">
  <dimension ref="A1:W180"/>
  <sheetViews>
    <sheetView showGridLines="0" showZeros="0" tabSelected="1" view="pageLayout" topLeftCell="A50" zoomScale="310" zoomScaleNormal="100" zoomScaleSheetLayoutView="100" zoomScalePageLayoutView="310" workbookViewId="0">
      <selection activeCell="A50" sqref="A50:C50"/>
    </sheetView>
  </sheetViews>
  <sheetFormatPr baseColWidth="10" defaultColWidth="9.1640625" defaultRowHeight="15" x14ac:dyDescent="0.2"/>
  <cols>
    <col min="1" max="1" width="2.5" style="2" customWidth="1"/>
    <col min="2" max="2" width="7.5" style="2" customWidth="1"/>
    <col min="3" max="3" width="9.5" style="2" customWidth="1"/>
    <col min="4" max="4" width="8.1640625" style="2" customWidth="1"/>
    <col min="5" max="5" width="4.5" style="2" customWidth="1"/>
    <col min="6" max="6" width="8.5" style="2" customWidth="1"/>
    <col min="7" max="7" width="4.6640625" style="2" customWidth="1"/>
    <col min="8" max="8" width="4.1640625" style="2" customWidth="1"/>
    <col min="9" max="9" width="4" style="2" customWidth="1"/>
    <col min="10" max="10" width="4.1640625" style="2" customWidth="1"/>
    <col min="11" max="11" width="5.1640625" style="2" customWidth="1"/>
    <col min="12" max="12" width="8" style="2" customWidth="1"/>
    <col min="13" max="13" width="1.1640625" style="2" customWidth="1"/>
    <col min="14" max="14" width="6" style="2" customWidth="1"/>
    <col min="15" max="15" width="2.83203125" style="2" customWidth="1"/>
    <col min="16" max="16" width="2.5" style="2" customWidth="1"/>
    <col min="17" max="17" width="2.6640625" style="2" customWidth="1"/>
    <col min="18" max="18" width="8.5" style="2" customWidth="1"/>
    <col min="19" max="19" width="0.5" style="2" customWidth="1"/>
    <col min="20" max="20" width="11.5" style="2" customWidth="1"/>
    <col min="21" max="21" width="8.5" style="2" customWidth="1"/>
    <col min="22" max="22" width="12.5" style="2" customWidth="1"/>
    <col min="23" max="16384" width="9.1640625" style="2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/>
      <c r="B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/>
      <c r="R3"/>
    </row>
    <row r="4" spans="1:18" x14ac:dyDescent="0.2">
      <c r="A4"/>
      <c r="B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/>
      <c r="R4"/>
    </row>
    <row r="5" spans="1:18" x14ac:dyDescent="0.2">
      <c r="A5"/>
      <c r="B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/>
      <c r="R5"/>
    </row>
    <row r="6" spans="1:18" x14ac:dyDescent="0.2">
      <c r="A6"/>
      <c r="B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/>
      <c r="R6"/>
    </row>
    <row r="7" spans="1:18" x14ac:dyDescent="0.2">
      <c r="A7"/>
      <c r="B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/>
      <c r="R7"/>
    </row>
    <row r="8" spans="1:18" s="6" customFormat="1" ht="35" x14ac:dyDescent="0.35">
      <c r="A8" s="4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4"/>
      <c r="N8" s="4"/>
      <c r="O8" s="4"/>
      <c r="P8" s="4"/>
      <c r="Q8" s="4"/>
      <c r="R8" s="4"/>
    </row>
    <row r="9" spans="1:18" s="6" customFormat="1" ht="35" x14ac:dyDescent="0.35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4"/>
      <c r="N9" s="4"/>
      <c r="O9" s="4"/>
      <c r="P9" s="4"/>
      <c r="Q9" s="4"/>
      <c r="R9" s="4"/>
    </row>
    <row r="10" spans="1:18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/>
      <c r="B2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/>
      <c r="R28"/>
    </row>
    <row r="29" spans="1:18" x14ac:dyDescent="0.2">
      <c r="A29"/>
      <c r="B2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/>
      <c r="R29"/>
    </row>
    <row r="30" spans="1:18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"/>
      <c r="R30" s="1"/>
    </row>
    <row r="31" spans="1:18" x14ac:dyDescent="0.2">
      <c r="A31" s="1"/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"/>
      <c r="R31" s="1"/>
    </row>
    <row r="32" spans="1:18" x14ac:dyDescent="0.2">
      <c r="A32" s="1"/>
      <c r="B32" s="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1"/>
      <c r="R32" s="1"/>
    </row>
    <row r="33" spans="1:18" x14ac:dyDescent="0.2">
      <c r="A33" s="1"/>
      <c r="B33" s="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1"/>
      <c r="R33" s="1"/>
    </row>
    <row r="34" spans="1:18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"/>
      <c r="R34" s="1"/>
    </row>
    <row r="35" spans="1:18" x14ac:dyDescent="0.2">
      <c r="A35" s="1"/>
      <c r="B35" s="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"/>
      <c r="R35" s="1"/>
    </row>
    <row r="36" spans="1:18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">
      <c r="A37" s="1" t="str">
        <f>"Advisor: "&amp;E94</f>
        <v xml:space="preserve">Advisor: 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x14ac:dyDescent="0.2">
      <c r="A39" s="8" t="s">
        <v>0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x14ac:dyDescent="0.2">
      <c r="A41" s="8" t="s">
        <v>1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8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8.7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8.7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s="13" customFormat="1" ht="19.25" customHeight="1" x14ac:dyDescent="0.2">
      <c r="A49" s="10" t="s">
        <v>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2"/>
    </row>
    <row r="50" spans="1:18" s="19" customFormat="1" ht="26.75" customHeight="1" x14ac:dyDescent="0.2">
      <c r="A50" s="14"/>
      <c r="B50" s="14"/>
      <c r="C50" s="14"/>
      <c r="D50" s="15"/>
      <c r="E50" s="15"/>
      <c r="F50" s="15"/>
      <c r="G50" s="15"/>
      <c r="H50" s="15"/>
      <c r="I50" s="16"/>
      <c r="J50" s="17"/>
      <c r="K50" s="17"/>
      <c r="L50" s="17"/>
      <c r="M50" s="17"/>
      <c r="N50" s="17"/>
      <c r="O50" s="17"/>
      <c r="P50" s="17"/>
      <c r="Q50" s="17"/>
      <c r="R50" s="18"/>
    </row>
    <row r="51" spans="1:18" s="19" customFormat="1" ht="12" x14ac:dyDescent="0.15">
      <c r="A51" s="20" t="s">
        <v>3</v>
      </c>
      <c r="B51" s="20"/>
      <c r="C51" s="20"/>
      <c r="D51" s="15" t="s">
        <v>4</v>
      </c>
      <c r="E51" s="15"/>
      <c r="F51" s="15" t="s">
        <v>5</v>
      </c>
      <c r="G51" s="15"/>
      <c r="H51" s="15"/>
      <c r="I51" s="21" t="s">
        <v>6</v>
      </c>
      <c r="J51" s="15" t="s">
        <v>7</v>
      </c>
      <c r="K51" s="15"/>
      <c r="L51" s="15"/>
      <c r="M51" s="15"/>
      <c r="N51" s="15"/>
      <c r="O51" s="15"/>
      <c r="P51" s="15"/>
      <c r="Q51" s="15"/>
      <c r="R51" s="22" t="s">
        <v>8</v>
      </c>
    </row>
    <row r="52" spans="1:18" s="19" customFormat="1" ht="18" customHeight="1" x14ac:dyDescent="0.2">
      <c r="A52" s="23"/>
      <c r="B52" s="23"/>
      <c r="C52" s="23"/>
      <c r="D52" s="24"/>
      <c r="E52" s="24"/>
      <c r="F52" s="24"/>
      <c r="G52" s="24"/>
      <c r="H52" s="24"/>
      <c r="I52" s="16"/>
      <c r="J52" s="17"/>
      <c r="K52" s="17"/>
      <c r="L52" s="17"/>
      <c r="M52" s="17"/>
      <c r="N52" s="17"/>
      <c r="O52" s="17"/>
      <c r="P52" s="17"/>
      <c r="Q52" s="17"/>
      <c r="R52" s="18" t="str">
        <f ca="1">IF(NOT(ISNUMBER(J52)), "", DATEDIF(J52, TODAY(), "Y"))</f>
        <v/>
      </c>
    </row>
    <row r="53" spans="1:18" s="19" customFormat="1" ht="13" customHeight="1" x14ac:dyDescent="0.15">
      <c r="A53" s="20" t="s">
        <v>9</v>
      </c>
      <c r="B53" s="20"/>
      <c r="C53" s="20"/>
      <c r="D53" s="25" t="s">
        <v>4</v>
      </c>
      <c r="E53" s="25"/>
      <c r="F53" s="25" t="s">
        <v>5</v>
      </c>
      <c r="G53" s="25" t="s">
        <v>10</v>
      </c>
      <c r="H53" s="25"/>
      <c r="I53" s="26" t="s">
        <v>11</v>
      </c>
      <c r="J53" s="15" t="s">
        <v>7</v>
      </c>
      <c r="K53" s="15"/>
      <c r="L53" s="15"/>
      <c r="M53" s="15"/>
      <c r="N53" s="15"/>
      <c r="O53" s="15"/>
      <c r="P53" s="15"/>
      <c r="Q53" s="15"/>
      <c r="R53" s="22" t="s">
        <v>8</v>
      </c>
    </row>
    <row r="54" spans="1:18" s="19" customFormat="1" ht="18" customHeight="1" x14ac:dyDescent="0.15">
      <c r="A54" s="23"/>
      <c r="B54" s="23"/>
      <c r="C54" s="23"/>
      <c r="D54" s="23"/>
      <c r="E54" s="23"/>
      <c r="F54" s="23"/>
      <c r="G54" s="23"/>
      <c r="H54" s="23"/>
      <c r="I54" s="23"/>
      <c r="J54" s="27"/>
      <c r="K54" s="23"/>
      <c r="L54" s="23"/>
      <c r="M54" s="23"/>
      <c r="N54" s="23"/>
      <c r="O54" s="23"/>
      <c r="P54" s="23"/>
      <c r="Q54" s="23"/>
      <c r="R54" s="23"/>
    </row>
    <row r="55" spans="1:18" s="19" customFormat="1" ht="12" x14ac:dyDescent="0.15">
      <c r="A55" s="20" t="s">
        <v>12</v>
      </c>
      <c r="B55" s="20"/>
      <c r="C55" s="20"/>
      <c r="D55" s="20"/>
      <c r="E55" s="20"/>
      <c r="F55" s="20"/>
      <c r="G55" s="28" t="s">
        <v>13</v>
      </c>
      <c r="H55" s="28"/>
      <c r="I55" s="28"/>
      <c r="J55" s="26" t="s">
        <v>14</v>
      </c>
      <c r="K55" s="20" t="s">
        <v>15</v>
      </c>
      <c r="L55" s="20"/>
      <c r="M55" s="20"/>
      <c r="N55" s="20" t="s">
        <v>16</v>
      </c>
      <c r="O55" s="20"/>
      <c r="P55" s="20"/>
      <c r="Q55" s="20"/>
      <c r="R55" s="20"/>
    </row>
    <row r="56" spans="1:18" s="26" customFormat="1" ht="18" customHeight="1" x14ac:dyDescent="0.1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s="26" customFormat="1" ht="12" x14ac:dyDescent="0.15">
      <c r="A57" s="20" t="s">
        <v>17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</row>
    <row r="58" spans="1:18" s="26" customFormat="1" ht="18.5" customHeight="1" x14ac:dyDescent="0.1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18" s="26" customFormat="1" ht="13" customHeight="1" x14ac:dyDescent="0.15">
      <c r="A59" s="20" t="s">
        <v>17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</row>
    <row r="60" spans="1:18" s="26" customFormat="1" ht="16.5" customHeight="1" x14ac:dyDescent="0.1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spans="1:18" s="26" customFormat="1" ht="13" customHeight="1" x14ac:dyDescent="0.15">
      <c r="A61" s="20" t="s">
        <v>17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18" s="26" customFormat="1" ht="8.25" customHeight="1" x14ac:dyDescent="0.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spans="1:18" s="26" customFormat="1" ht="16.5" customHeight="1" x14ac:dyDescent="0.15">
      <c r="A63" s="20" t="s">
        <v>18</v>
      </c>
      <c r="B63" s="20"/>
      <c r="C63" s="24"/>
      <c r="D63" s="24"/>
      <c r="E63" s="24"/>
      <c r="F63" s="24"/>
      <c r="G63" s="24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spans="1:18" s="26" customFormat="1" ht="18" customHeight="1" x14ac:dyDescent="0.15">
      <c r="A64" s="20"/>
      <c r="B64" s="20"/>
      <c r="C64" s="25" t="s">
        <v>19</v>
      </c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23" s="26" customFormat="1" ht="16.5" customHeight="1" x14ac:dyDescent="0.15">
      <c r="A65" s="29" t="s">
        <v>20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23" s="26" customFormat="1" ht="18" customHeight="1" x14ac:dyDescent="0.15">
      <c r="A66" s="30">
        <v>1</v>
      </c>
      <c r="B66" s="23"/>
      <c r="C66" s="23"/>
      <c r="D66" s="23"/>
      <c r="E66" s="26">
        <v>5</v>
      </c>
      <c r="F66" s="23"/>
      <c r="G66" s="23"/>
      <c r="H66" s="23"/>
      <c r="I66" s="23"/>
      <c r="J66" s="23"/>
      <c r="L66" s="23"/>
      <c r="M66" s="23"/>
      <c r="N66" s="23"/>
      <c r="O66" s="23"/>
      <c r="P66" s="23"/>
      <c r="Q66" s="23"/>
      <c r="R66" s="23"/>
    </row>
    <row r="67" spans="1:23" s="33" customFormat="1" ht="16.5" customHeight="1" x14ac:dyDescent="0.2">
      <c r="A67" s="31"/>
      <c r="B67" s="32" t="s">
        <v>21</v>
      </c>
      <c r="C67" s="32"/>
      <c r="D67" s="32"/>
      <c r="F67" s="32" t="s">
        <v>21</v>
      </c>
      <c r="G67" s="32"/>
      <c r="H67" s="32"/>
      <c r="I67" s="32"/>
      <c r="J67" s="32"/>
      <c r="L67" s="32" t="s">
        <v>22</v>
      </c>
      <c r="M67" s="32"/>
      <c r="N67" s="32"/>
      <c r="O67" s="32"/>
      <c r="P67" s="32"/>
      <c r="Q67" s="32"/>
      <c r="R67" s="32"/>
    </row>
    <row r="68" spans="1:23" s="26" customFormat="1" ht="18" customHeight="1" x14ac:dyDescent="0.15">
      <c r="A68" s="30">
        <v>2</v>
      </c>
      <c r="B68" s="23"/>
      <c r="C68" s="23"/>
      <c r="D68" s="23"/>
      <c r="E68" s="26">
        <v>6</v>
      </c>
      <c r="F68" s="23"/>
      <c r="G68" s="23"/>
      <c r="H68" s="23"/>
      <c r="I68" s="23"/>
      <c r="J68" s="23"/>
      <c r="L68" s="20" t="s">
        <v>23</v>
      </c>
      <c r="M68" s="20"/>
      <c r="N68" s="20"/>
      <c r="O68" s="20"/>
      <c r="P68" s="20"/>
      <c r="Q68" s="20"/>
      <c r="R68" s="20"/>
    </row>
    <row r="69" spans="1:23" s="26" customFormat="1" ht="16.5" customHeight="1" x14ac:dyDescent="0.15">
      <c r="A69" s="30"/>
      <c r="B69" s="32" t="s">
        <v>21</v>
      </c>
      <c r="C69" s="32"/>
      <c r="D69" s="32"/>
      <c r="F69" s="32" t="s">
        <v>21</v>
      </c>
      <c r="G69" s="32"/>
      <c r="H69" s="32"/>
      <c r="I69" s="32"/>
      <c r="J69" s="32"/>
      <c r="L69" s="34"/>
      <c r="M69" s="34"/>
      <c r="N69" s="34"/>
      <c r="O69" s="34"/>
      <c r="P69" s="34"/>
      <c r="Q69" s="34"/>
      <c r="R69" s="34"/>
    </row>
    <row r="70" spans="1:23" s="26" customFormat="1" ht="18" customHeight="1" x14ac:dyDescent="0.15">
      <c r="A70" s="30">
        <v>3</v>
      </c>
      <c r="B70" s="23"/>
      <c r="C70" s="23"/>
      <c r="D70" s="23"/>
      <c r="E70" s="26">
        <v>7</v>
      </c>
      <c r="F70" s="23"/>
      <c r="G70" s="23"/>
      <c r="H70" s="23"/>
      <c r="I70" s="23"/>
      <c r="J70" s="23"/>
      <c r="L70" s="34"/>
      <c r="M70" s="34"/>
      <c r="N70" s="34"/>
      <c r="O70" s="34"/>
      <c r="P70" s="34"/>
      <c r="Q70" s="34"/>
      <c r="R70" s="34"/>
    </row>
    <row r="71" spans="1:23" s="29" customFormat="1" ht="16.5" customHeight="1" x14ac:dyDescent="0.15">
      <c r="A71" s="30"/>
      <c r="B71" s="32" t="s">
        <v>21</v>
      </c>
      <c r="C71" s="32"/>
      <c r="D71" s="32"/>
      <c r="E71" s="26"/>
      <c r="F71" s="32" t="s">
        <v>21</v>
      </c>
      <c r="G71" s="32"/>
      <c r="H71" s="32"/>
      <c r="I71" s="32"/>
      <c r="J71" s="32"/>
      <c r="K71" s="26"/>
      <c r="L71" s="34"/>
      <c r="M71" s="34"/>
      <c r="N71" s="34"/>
      <c r="O71" s="34"/>
      <c r="P71" s="34"/>
      <c r="Q71" s="34"/>
      <c r="R71" s="34"/>
      <c r="S71" s="35"/>
      <c r="T71" s="35"/>
      <c r="U71" s="35"/>
      <c r="V71" s="35"/>
      <c r="W71" s="35"/>
    </row>
    <row r="72" spans="1:23" s="26" customFormat="1" ht="18" customHeight="1" x14ac:dyDescent="0.15">
      <c r="A72" s="30">
        <v>4</v>
      </c>
      <c r="B72" s="23"/>
      <c r="C72" s="23"/>
      <c r="D72" s="23"/>
      <c r="E72" s="26">
        <v>8</v>
      </c>
      <c r="F72" s="23"/>
      <c r="G72" s="23"/>
      <c r="H72" s="23"/>
      <c r="I72" s="23"/>
      <c r="J72" s="23"/>
      <c r="L72" s="34"/>
      <c r="M72" s="34"/>
      <c r="N72" s="34"/>
      <c r="O72" s="34"/>
      <c r="P72" s="34"/>
      <c r="Q72" s="34"/>
      <c r="R72" s="34"/>
    </row>
    <row r="73" spans="1:23" s="26" customFormat="1" ht="16.5" customHeight="1" x14ac:dyDescent="0.15">
      <c r="B73" s="32" t="s">
        <v>21</v>
      </c>
      <c r="C73" s="32"/>
      <c r="D73" s="32"/>
      <c r="F73" s="32" t="s">
        <v>21</v>
      </c>
      <c r="G73" s="32"/>
      <c r="H73" s="32"/>
      <c r="I73" s="32"/>
      <c r="J73" s="32"/>
      <c r="L73" s="34"/>
      <c r="M73" s="34"/>
      <c r="N73" s="34"/>
      <c r="O73" s="34"/>
      <c r="P73" s="34"/>
      <c r="Q73" s="34"/>
      <c r="R73" s="34"/>
    </row>
    <row r="74" spans="1:23" s="26" customFormat="1" ht="18" customHeight="1" x14ac:dyDescent="0.1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</row>
    <row r="75" spans="1:23" s="40" customFormat="1" ht="19.25" customHeight="1" x14ac:dyDescent="0.2">
      <c r="A75" s="37" t="s">
        <v>24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9"/>
    </row>
    <row r="76" spans="1:23" s="26" customFormat="1" ht="26.75" customHeight="1" x14ac:dyDescent="0.15">
      <c r="A76" s="41"/>
      <c r="B76" s="41"/>
      <c r="C76" s="41"/>
      <c r="D76" s="41"/>
      <c r="E76" s="41"/>
      <c r="F76" s="14"/>
      <c r="G76" s="14"/>
      <c r="H76" s="14"/>
      <c r="I76" s="14"/>
      <c r="J76" s="14"/>
      <c r="K76" s="14"/>
      <c r="L76" s="23"/>
      <c r="M76" s="23"/>
      <c r="N76" s="23"/>
      <c r="O76" s="24"/>
      <c r="P76" s="24"/>
      <c r="Q76" s="24"/>
      <c r="R76" s="24"/>
    </row>
    <row r="77" spans="1:23" s="26" customFormat="1" ht="13" customHeight="1" x14ac:dyDescent="0.15">
      <c r="A77" s="20" t="s">
        <v>25</v>
      </c>
      <c r="B77" s="20"/>
      <c r="C77" s="20"/>
      <c r="D77" s="20"/>
      <c r="E77" s="20"/>
      <c r="F77" s="20" t="s">
        <v>26</v>
      </c>
      <c r="G77" s="20"/>
      <c r="H77" s="20"/>
      <c r="I77" s="20"/>
      <c r="J77" s="20"/>
      <c r="K77" s="20"/>
      <c r="L77" s="20" t="s">
        <v>27</v>
      </c>
      <c r="M77" s="20"/>
      <c r="N77" s="20"/>
      <c r="O77" s="20" t="s">
        <v>28</v>
      </c>
      <c r="P77" s="20"/>
      <c r="Q77" s="20"/>
      <c r="R77" s="20"/>
      <c r="S77" s="42"/>
      <c r="T77" s="42"/>
      <c r="U77" s="42"/>
      <c r="V77" s="42"/>
      <c r="W77" s="42"/>
    </row>
    <row r="78" spans="1:23" s="26" customFormat="1" ht="19.25" customHeight="1" x14ac:dyDescent="0.15">
      <c r="A78" s="41"/>
      <c r="B78" s="41"/>
      <c r="C78" s="41"/>
      <c r="D78" s="41"/>
      <c r="E78" s="41"/>
      <c r="F78" s="23"/>
      <c r="G78" s="23"/>
      <c r="H78" s="23"/>
      <c r="I78" s="23"/>
      <c r="J78" s="23"/>
      <c r="K78" s="23"/>
      <c r="L78" s="23"/>
      <c r="M78" s="23"/>
      <c r="N78" s="23"/>
      <c r="O78" s="24"/>
      <c r="P78" s="24"/>
      <c r="Q78" s="24"/>
      <c r="R78" s="24"/>
    </row>
    <row r="79" spans="1:23" s="26" customFormat="1" ht="12" x14ac:dyDescent="0.15">
      <c r="A79" s="20" t="s">
        <v>29</v>
      </c>
      <c r="B79" s="20"/>
      <c r="C79" s="20"/>
      <c r="D79" s="20"/>
      <c r="E79" s="20"/>
      <c r="F79" s="20" t="s">
        <v>26</v>
      </c>
      <c r="G79" s="20"/>
      <c r="H79" s="20"/>
      <c r="I79" s="20"/>
      <c r="J79" s="20"/>
      <c r="K79" s="20"/>
      <c r="L79" s="20" t="s">
        <v>27</v>
      </c>
      <c r="M79" s="20"/>
      <c r="N79" s="20"/>
      <c r="O79" s="20" t="s">
        <v>28</v>
      </c>
      <c r="P79" s="20"/>
      <c r="Q79" s="20"/>
      <c r="R79" s="20"/>
    </row>
    <row r="80" spans="1:23" s="26" customFormat="1" ht="12" x14ac:dyDescent="0.1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</row>
    <row r="81" spans="1:20" s="26" customFormat="1" ht="19.25" customHeight="1" x14ac:dyDescent="0.15">
      <c r="A81" s="37" t="s">
        <v>30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9"/>
    </row>
    <row r="82" spans="1:20" s="40" customFormat="1" ht="7.25" customHeight="1" x14ac:dyDescent="0.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spans="1:20" s="26" customFormat="1" ht="18" customHeight="1" x14ac:dyDescent="0.15">
      <c r="A83" s="26" t="s">
        <v>31</v>
      </c>
    </row>
    <row r="84" spans="1:20" s="26" customFormat="1" ht="7.25" customHeight="1" x14ac:dyDescent="0.1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1:20" s="26" customFormat="1" ht="20" customHeight="1" x14ac:dyDescent="0.1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44"/>
      <c r="P85" s="45"/>
      <c r="Q85" s="45"/>
      <c r="R85" s="46"/>
    </row>
    <row r="86" spans="1:20" s="26" customFormat="1" ht="12" x14ac:dyDescent="0.15">
      <c r="A86" s="20" t="s">
        <v>32</v>
      </c>
      <c r="B86" s="20"/>
      <c r="C86" s="20"/>
      <c r="D86" s="20"/>
      <c r="E86" s="20" t="s">
        <v>33</v>
      </c>
      <c r="F86" s="20"/>
      <c r="G86" s="20"/>
      <c r="H86" s="20"/>
      <c r="I86" s="20"/>
      <c r="J86" s="20" t="s">
        <v>17</v>
      </c>
      <c r="K86" s="20"/>
      <c r="L86" s="20"/>
      <c r="M86" s="20"/>
      <c r="O86" s="47"/>
      <c r="P86" s="48"/>
      <c r="Q86" s="48"/>
      <c r="R86" s="49"/>
    </row>
    <row r="87" spans="1:20" s="26" customFormat="1" ht="20" customHeight="1" x14ac:dyDescent="0.1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47"/>
      <c r="P87" s="48"/>
      <c r="Q87" s="48"/>
      <c r="R87" s="49"/>
    </row>
    <row r="88" spans="1:20" s="26" customFormat="1" ht="12" x14ac:dyDescent="0.15">
      <c r="A88" s="20" t="s">
        <v>34</v>
      </c>
      <c r="B88" s="20"/>
      <c r="C88" s="20"/>
      <c r="D88" s="20"/>
      <c r="E88" s="20" t="s">
        <v>33</v>
      </c>
      <c r="F88" s="20"/>
      <c r="G88" s="20"/>
      <c r="H88" s="20"/>
      <c r="I88" s="20"/>
      <c r="J88" s="20" t="s">
        <v>17</v>
      </c>
      <c r="K88" s="20"/>
      <c r="L88" s="20"/>
      <c r="M88" s="20"/>
      <c r="O88" s="47"/>
      <c r="P88" s="48"/>
      <c r="Q88" s="48"/>
      <c r="R88" s="49"/>
    </row>
    <row r="89" spans="1:20" s="26" customFormat="1" ht="20" customHeight="1" x14ac:dyDescent="0.1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47"/>
      <c r="P89" s="48"/>
      <c r="Q89" s="48"/>
      <c r="R89" s="49"/>
    </row>
    <row r="90" spans="1:20" s="26" customFormat="1" ht="12" x14ac:dyDescent="0.15">
      <c r="A90" s="20" t="s">
        <v>35</v>
      </c>
      <c r="B90" s="20"/>
      <c r="C90" s="20"/>
      <c r="D90" s="20"/>
      <c r="E90" s="20" t="s">
        <v>33</v>
      </c>
      <c r="F90" s="20"/>
      <c r="G90" s="20"/>
      <c r="H90" s="20"/>
      <c r="I90" s="20"/>
      <c r="J90" s="20" t="s">
        <v>17</v>
      </c>
      <c r="K90" s="20"/>
      <c r="L90" s="20"/>
      <c r="M90" s="20"/>
      <c r="O90" s="47"/>
      <c r="P90" s="48"/>
      <c r="Q90" s="48"/>
      <c r="R90" s="49"/>
    </row>
    <row r="91" spans="1:20" s="26" customFormat="1" ht="20" customHeight="1" x14ac:dyDescent="0.1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47"/>
      <c r="P91" s="48"/>
      <c r="Q91" s="48"/>
      <c r="R91" s="49"/>
    </row>
    <row r="92" spans="1:20" s="26" customFormat="1" ht="12" x14ac:dyDescent="0.15">
      <c r="A92" s="20" t="s">
        <v>36</v>
      </c>
      <c r="B92" s="20"/>
      <c r="C92" s="20"/>
      <c r="D92" s="20"/>
      <c r="E92" s="20" t="s">
        <v>33</v>
      </c>
      <c r="F92" s="20"/>
      <c r="G92" s="20"/>
      <c r="H92" s="20"/>
      <c r="I92" s="20"/>
      <c r="J92" s="20" t="s">
        <v>17</v>
      </c>
      <c r="K92" s="20"/>
      <c r="L92" s="20"/>
      <c r="M92" s="20"/>
      <c r="O92" s="50"/>
      <c r="P92" s="51"/>
      <c r="Q92" s="51"/>
      <c r="R92" s="52"/>
    </row>
    <row r="93" spans="1:20" s="40" customFormat="1" ht="14.2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6"/>
      <c r="O93" s="26"/>
      <c r="P93" s="26"/>
      <c r="Q93" s="26"/>
      <c r="R93" s="26"/>
    </row>
    <row r="94" spans="1:20" ht="13.5" customHeight="1" x14ac:dyDescent="0.2">
      <c r="A94" s="29"/>
      <c r="B94" s="53" t="s">
        <v>37</v>
      </c>
      <c r="C94" s="54"/>
      <c r="D94" s="54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6"/>
      <c r="Q94" s="26"/>
      <c r="R94" s="26"/>
    </row>
    <row r="95" spans="1:20" ht="12" customHeight="1" x14ac:dyDescent="0.2">
      <c r="A95" s="29"/>
      <c r="B95" s="57" t="s">
        <v>38</v>
      </c>
      <c r="C95" s="58"/>
      <c r="D95" s="58"/>
      <c r="E95" s="59" t="s">
        <v>32</v>
      </c>
      <c r="F95" s="59"/>
      <c r="G95" s="59"/>
      <c r="H95" s="59"/>
      <c r="I95" s="59"/>
      <c r="J95" s="59" t="s">
        <v>39</v>
      </c>
      <c r="K95" s="59"/>
      <c r="L95" s="59"/>
      <c r="M95" s="59"/>
      <c r="N95" s="59"/>
      <c r="O95" s="59"/>
      <c r="P95" s="60"/>
    </row>
    <row r="96" spans="1:20" s="64" customFormat="1" ht="17" x14ac:dyDescent="0.2">
      <c r="A96" s="61" t="s">
        <v>40</v>
      </c>
      <c r="B96" s="61"/>
      <c r="C96" s="61"/>
      <c r="D96" s="61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3"/>
      <c r="T96" s="63"/>
    </row>
    <row r="97" spans="1:22" s="40" customFormat="1" ht="11.5" customHeight="1" x14ac:dyDescent="0.2">
      <c r="A97" s="65" t="s">
        <v>41</v>
      </c>
      <c r="B97" s="65"/>
      <c r="C97" s="65"/>
      <c r="D97" s="65" t="s">
        <v>42</v>
      </c>
      <c r="E97" s="65"/>
      <c r="F97" s="66" t="s">
        <v>43</v>
      </c>
      <c r="G97" s="66"/>
      <c r="H97" s="66"/>
      <c r="I97" s="66"/>
      <c r="J97" s="67" t="s">
        <v>44</v>
      </c>
      <c r="K97" s="68" t="s">
        <v>45</v>
      </c>
      <c r="L97" s="68"/>
      <c r="M97" s="68"/>
      <c r="N97" s="68"/>
      <c r="O97" s="65" t="s">
        <v>46</v>
      </c>
      <c r="P97" s="65"/>
      <c r="Q97" s="65"/>
      <c r="R97" s="65"/>
      <c r="S97" s="69"/>
    </row>
    <row r="98" spans="1:22" s="40" customFormat="1" ht="8.75" customHeight="1" x14ac:dyDescent="0.2">
      <c r="A98" s="65"/>
      <c r="B98" s="65"/>
      <c r="C98" s="65"/>
      <c r="D98" s="65"/>
      <c r="E98" s="70"/>
      <c r="F98" s="71" t="s">
        <v>47</v>
      </c>
      <c r="G98" s="72" t="s">
        <v>48</v>
      </c>
      <c r="H98" s="72"/>
      <c r="I98" s="73" t="s">
        <v>49</v>
      </c>
      <c r="J98" s="71" t="s">
        <v>50</v>
      </c>
      <c r="K98" s="71" t="s">
        <v>51</v>
      </c>
      <c r="L98" s="73" t="s">
        <v>52</v>
      </c>
      <c r="M98" s="72" t="s">
        <v>53</v>
      </c>
      <c r="N98" s="74"/>
      <c r="O98" s="75"/>
      <c r="P98" s="65"/>
      <c r="Q98" s="65"/>
      <c r="R98" s="65"/>
      <c r="S98" s="69"/>
      <c r="T98" s="69"/>
    </row>
    <row r="99" spans="1:22" s="13" customFormat="1" ht="17.25" customHeight="1" x14ac:dyDescent="0.2">
      <c r="A99" s="76"/>
      <c r="B99" s="76"/>
      <c r="C99" s="76"/>
      <c r="D99" s="77"/>
      <c r="E99" s="77"/>
      <c r="F99" s="78"/>
      <c r="G99" s="79"/>
      <c r="H99" s="79"/>
      <c r="I99" s="80"/>
      <c r="J99" s="78"/>
      <c r="K99" s="81"/>
      <c r="L99" s="82"/>
      <c r="M99" s="83"/>
      <c r="N99" s="83"/>
      <c r="O99" s="84"/>
      <c r="P99" s="84"/>
      <c r="Q99" s="84"/>
      <c r="R99" s="84"/>
    </row>
    <row r="100" spans="1:22" s="13" customFormat="1" ht="17.25" customHeight="1" x14ac:dyDescent="0.2">
      <c r="A100" s="85"/>
      <c r="B100" s="86"/>
      <c r="C100" s="87"/>
      <c r="D100" s="77"/>
      <c r="E100" s="77"/>
      <c r="F100" s="88"/>
      <c r="G100" s="89"/>
      <c r="H100" s="90"/>
      <c r="I100" s="91"/>
      <c r="J100" s="88"/>
      <c r="K100" s="92"/>
      <c r="L100" s="93"/>
      <c r="M100" s="94"/>
      <c r="N100" s="95"/>
      <c r="O100" s="96"/>
      <c r="P100" s="97"/>
      <c r="Q100" s="97"/>
      <c r="R100" s="98"/>
    </row>
    <row r="101" spans="1:22" s="13" customFormat="1" ht="17.25" customHeight="1" x14ac:dyDescent="0.2">
      <c r="A101" s="76"/>
      <c r="B101" s="76"/>
      <c r="C101" s="76"/>
      <c r="D101" s="77"/>
      <c r="E101" s="77"/>
      <c r="F101" s="88"/>
      <c r="G101" s="99"/>
      <c r="H101" s="99"/>
      <c r="I101" s="91"/>
      <c r="J101" s="88"/>
      <c r="K101" s="92"/>
      <c r="L101" s="93"/>
      <c r="M101" s="77"/>
      <c r="N101" s="77"/>
      <c r="O101" s="84"/>
      <c r="P101" s="84"/>
      <c r="Q101" s="84"/>
      <c r="R101" s="84"/>
    </row>
    <row r="102" spans="1:22" s="13" customFormat="1" ht="17.25" customHeight="1" x14ac:dyDescent="0.2">
      <c r="A102" s="76"/>
      <c r="B102" s="76"/>
      <c r="C102" s="76"/>
      <c r="D102" s="77"/>
      <c r="E102" s="77"/>
      <c r="F102" s="88"/>
      <c r="G102" s="100"/>
      <c r="H102" s="100"/>
      <c r="I102" s="91"/>
      <c r="J102" s="88"/>
      <c r="K102" s="92"/>
      <c r="L102" s="93"/>
      <c r="M102" s="77"/>
      <c r="N102" s="77"/>
      <c r="O102" s="84"/>
      <c r="P102" s="84"/>
      <c r="Q102" s="84"/>
      <c r="R102" s="84"/>
    </row>
    <row r="103" spans="1:22" s="112" customFormat="1" ht="17.25" customHeight="1" x14ac:dyDescent="0.2">
      <c r="A103" s="101" t="str">
        <f>IF([1]Overflow!D10&gt;0,"GRAND TOTAL","TOTAL")</f>
        <v>TOTAL</v>
      </c>
      <c r="B103" s="102"/>
      <c r="C103" s="103" t="str">
        <f>IF([1]Overflow!D10&gt;0,D103+[1]Overflow!D10,"")</f>
        <v/>
      </c>
      <c r="D103" s="104">
        <f>SUM(D99:E102)</f>
        <v>0</v>
      </c>
      <c r="E103" s="104"/>
      <c r="F103" s="105">
        <f>SUM(F99:F102)</f>
        <v>0</v>
      </c>
      <c r="G103" s="106"/>
      <c r="H103" s="106"/>
      <c r="I103" s="107"/>
      <c r="J103" s="107"/>
      <c r="K103" s="108"/>
      <c r="L103" s="108"/>
      <c r="M103" s="109"/>
      <c r="N103" s="109"/>
      <c r="O103" s="110"/>
      <c r="P103" s="110"/>
      <c r="Q103" s="110"/>
      <c r="R103" s="111"/>
    </row>
    <row r="104" spans="1:22" s="114" customFormat="1" ht="17.25" customHeight="1" x14ac:dyDescent="0.2">
      <c r="A104" s="113" t="s">
        <v>54</v>
      </c>
      <c r="B104" s="113"/>
      <c r="C104" s="113"/>
      <c r="D104" s="113"/>
      <c r="E104" s="113"/>
      <c r="F104" s="113"/>
      <c r="G104" s="113"/>
      <c r="H104" s="113"/>
      <c r="I104" s="113"/>
      <c r="J104" s="113"/>
      <c r="K104" s="62"/>
      <c r="L104" s="62"/>
      <c r="M104" s="62"/>
      <c r="N104" s="62"/>
      <c r="O104" s="62"/>
      <c r="P104" s="62"/>
      <c r="Q104" s="62"/>
      <c r="R104" s="62"/>
    </row>
    <row r="105" spans="1:22" s="116" customFormat="1" ht="13" customHeight="1" x14ac:dyDescent="0.2">
      <c r="A105" s="65" t="s">
        <v>55</v>
      </c>
      <c r="B105" s="65"/>
      <c r="C105" s="65"/>
      <c r="D105" s="65" t="s">
        <v>42</v>
      </c>
      <c r="E105" s="65"/>
      <c r="F105" s="65" t="s">
        <v>53</v>
      </c>
      <c r="G105" s="65"/>
      <c r="H105" s="65" t="s">
        <v>56</v>
      </c>
      <c r="I105" s="65"/>
      <c r="J105" s="65" t="s">
        <v>57</v>
      </c>
      <c r="K105" s="65"/>
      <c r="L105" s="115" t="s">
        <v>46</v>
      </c>
      <c r="M105" s="115"/>
      <c r="N105" s="115"/>
      <c r="O105" s="65" t="s">
        <v>58</v>
      </c>
      <c r="P105" s="65"/>
      <c r="Q105" s="65"/>
      <c r="R105" s="65"/>
      <c r="S105" s="69"/>
    </row>
    <row r="106" spans="1:22" s="117" customFormat="1" ht="7.25" customHeight="1" x14ac:dyDescent="0.2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115"/>
      <c r="M106" s="115"/>
      <c r="N106" s="115"/>
      <c r="O106" s="65"/>
      <c r="P106" s="65"/>
      <c r="Q106" s="65"/>
      <c r="R106" s="65"/>
      <c r="S106" s="69"/>
      <c r="T106" s="69"/>
      <c r="U106" s="69"/>
      <c r="V106" s="69"/>
    </row>
    <row r="107" spans="1:22" s="13" customFormat="1" ht="17.25" customHeight="1" x14ac:dyDescent="0.2">
      <c r="A107" s="76"/>
      <c r="B107" s="76"/>
      <c r="C107" s="76"/>
      <c r="D107" s="77"/>
      <c r="E107" s="77"/>
      <c r="F107" s="77"/>
      <c r="G107" s="77"/>
      <c r="H107" s="77"/>
      <c r="I107" s="77"/>
      <c r="J107" s="84"/>
      <c r="K107" s="84"/>
      <c r="L107" s="84"/>
      <c r="M107" s="84"/>
      <c r="N107" s="84"/>
      <c r="O107" s="84"/>
      <c r="P107" s="84"/>
      <c r="Q107" s="84"/>
      <c r="R107" s="84"/>
    </row>
    <row r="108" spans="1:22" s="13" customFormat="1" ht="17.25" customHeight="1" x14ac:dyDescent="0.2">
      <c r="A108" s="76"/>
      <c r="B108" s="76"/>
      <c r="C108" s="76"/>
      <c r="D108" s="77"/>
      <c r="E108" s="77"/>
      <c r="F108" s="77"/>
      <c r="G108" s="77"/>
      <c r="H108" s="77"/>
      <c r="I108" s="77"/>
      <c r="J108" s="84"/>
      <c r="K108" s="84"/>
      <c r="L108" s="84"/>
      <c r="M108" s="84"/>
      <c r="N108" s="84"/>
      <c r="O108" s="84"/>
      <c r="P108" s="84"/>
      <c r="Q108" s="84"/>
      <c r="R108" s="84"/>
    </row>
    <row r="109" spans="1:22" s="13" customFormat="1" ht="17.25" customHeight="1" x14ac:dyDescent="0.2">
      <c r="A109" s="76"/>
      <c r="B109" s="76"/>
      <c r="C109" s="76"/>
      <c r="D109" s="77"/>
      <c r="E109" s="77"/>
      <c r="F109" s="94"/>
      <c r="G109" s="95"/>
      <c r="H109" s="94"/>
      <c r="I109" s="95"/>
      <c r="J109" s="96"/>
      <c r="K109" s="98"/>
      <c r="L109" s="96"/>
      <c r="M109" s="97"/>
      <c r="N109" s="98"/>
      <c r="O109" s="96"/>
      <c r="P109" s="97"/>
      <c r="Q109" s="97"/>
      <c r="R109" s="98"/>
    </row>
    <row r="110" spans="1:22" s="13" customFormat="1" ht="17.25" customHeight="1" x14ac:dyDescent="0.2">
      <c r="A110" s="76"/>
      <c r="B110" s="76"/>
      <c r="C110" s="76"/>
      <c r="D110" s="77"/>
      <c r="E110" s="77"/>
      <c r="F110" s="94"/>
      <c r="G110" s="95"/>
      <c r="H110" s="77"/>
      <c r="I110" s="77"/>
      <c r="J110" s="84"/>
      <c r="K110" s="84"/>
      <c r="L110" s="84"/>
      <c r="M110" s="84"/>
      <c r="N110" s="84"/>
      <c r="O110" s="84"/>
      <c r="P110" s="84"/>
      <c r="Q110" s="84"/>
      <c r="R110" s="84"/>
    </row>
    <row r="111" spans="1:22" s="13" customFormat="1" ht="17.25" customHeight="1" x14ac:dyDescent="0.2">
      <c r="A111" s="76"/>
      <c r="B111" s="76"/>
      <c r="C111" s="76"/>
      <c r="D111" s="77"/>
      <c r="E111" s="77"/>
      <c r="F111" s="94"/>
      <c r="G111" s="95"/>
      <c r="H111" s="118"/>
      <c r="I111" s="118"/>
      <c r="J111" s="119"/>
      <c r="K111" s="119"/>
      <c r="L111" s="119"/>
      <c r="M111" s="119"/>
      <c r="N111" s="119"/>
      <c r="O111" s="119" t="s">
        <v>59</v>
      </c>
      <c r="P111" s="119"/>
      <c r="Q111" s="119"/>
      <c r="R111" s="119"/>
    </row>
    <row r="112" spans="1:22" s="125" customFormat="1" ht="17.25" customHeight="1" x14ac:dyDescent="0.2">
      <c r="A112" s="101" t="str">
        <f>IF([1]Overflow!D19&gt;0,"GRAND TOTAL","TOTAL")</f>
        <v>TOTAL</v>
      </c>
      <c r="B112" s="102"/>
      <c r="C112" s="120" t="str">
        <f>IF([1]Overflow!D19&gt;0,[1]Overflow!D19+D112,"")</f>
        <v/>
      </c>
      <c r="D112" s="121">
        <f>SUM(D107:E111)</f>
        <v>0</v>
      </c>
      <c r="E112" s="122"/>
      <c r="F112" s="122">
        <f>SUM(F107:G111)</f>
        <v>0</v>
      </c>
      <c r="G112" s="122"/>
      <c r="H112" s="122">
        <f>SUM(H107:I111)</f>
        <v>0</v>
      </c>
      <c r="I112" s="122"/>
      <c r="J112" s="123"/>
      <c r="K112" s="123"/>
      <c r="L112" s="97"/>
      <c r="M112" s="97"/>
      <c r="N112" s="97"/>
      <c r="O112" s="123"/>
      <c r="P112" s="123"/>
      <c r="Q112" s="123"/>
      <c r="R112" s="124"/>
    </row>
    <row r="113" spans="1:19" s="128" customFormat="1" ht="17.25" customHeight="1" x14ac:dyDescent="0.2">
      <c r="A113" s="126" t="s">
        <v>60</v>
      </c>
      <c r="B113" s="126"/>
      <c r="C113" s="126"/>
      <c r="D113" s="126"/>
      <c r="E113" s="126"/>
      <c r="F113" s="126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</row>
    <row r="114" spans="1:19" s="116" customFormat="1" ht="20" customHeight="1" x14ac:dyDescent="0.2">
      <c r="A114" s="65" t="s">
        <v>55</v>
      </c>
      <c r="B114" s="65"/>
      <c r="C114" s="65"/>
      <c r="D114" s="65" t="s">
        <v>42</v>
      </c>
      <c r="E114" s="65"/>
      <c r="F114" s="115" t="s">
        <v>53</v>
      </c>
      <c r="G114" s="115"/>
      <c r="H114" s="115" t="s">
        <v>61</v>
      </c>
      <c r="I114" s="115"/>
      <c r="J114" s="65" t="s">
        <v>57</v>
      </c>
      <c r="K114" s="65"/>
      <c r="L114" s="115" t="s">
        <v>46</v>
      </c>
      <c r="M114" s="115"/>
      <c r="N114" s="115" t="s">
        <v>58</v>
      </c>
      <c r="O114" s="65" t="s">
        <v>58</v>
      </c>
      <c r="P114" s="65"/>
      <c r="Q114" s="65"/>
      <c r="R114" s="65"/>
      <c r="S114" s="69"/>
    </row>
    <row r="115" spans="1:19" s="13" customFormat="1" ht="17.25" customHeight="1" x14ac:dyDescent="0.2">
      <c r="A115" s="76"/>
      <c r="B115" s="76"/>
      <c r="C115" s="76"/>
      <c r="D115" s="77"/>
      <c r="E115" s="77"/>
      <c r="F115" s="77"/>
      <c r="G115" s="77"/>
      <c r="H115" s="129"/>
      <c r="I115" s="129"/>
      <c r="J115" s="84"/>
      <c r="K115" s="84"/>
      <c r="L115" s="119"/>
      <c r="M115" s="119"/>
      <c r="N115" s="119"/>
      <c r="O115" s="84"/>
      <c r="P115" s="84"/>
      <c r="Q115" s="84"/>
      <c r="R115" s="84"/>
    </row>
    <row r="116" spans="1:19" s="13" customFormat="1" ht="17.25" customHeight="1" x14ac:dyDescent="0.2">
      <c r="A116" s="76"/>
      <c r="B116" s="76"/>
      <c r="C116" s="76"/>
      <c r="D116" s="77"/>
      <c r="E116" s="77"/>
      <c r="F116" s="77"/>
      <c r="G116" s="77"/>
      <c r="H116" s="129"/>
      <c r="I116" s="129"/>
      <c r="J116" s="84"/>
      <c r="K116" s="84"/>
      <c r="L116" s="119"/>
      <c r="M116" s="119"/>
      <c r="N116" s="119"/>
      <c r="O116" s="84"/>
      <c r="P116" s="84"/>
      <c r="Q116" s="84"/>
      <c r="R116" s="84"/>
    </row>
    <row r="117" spans="1:19" s="13" customFormat="1" ht="17.25" customHeight="1" x14ac:dyDescent="0.2">
      <c r="A117" s="76"/>
      <c r="B117" s="76"/>
      <c r="C117" s="76"/>
      <c r="D117" s="77"/>
      <c r="E117" s="77"/>
      <c r="F117" s="77"/>
      <c r="G117" s="77"/>
      <c r="H117" s="129"/>
      <c r="I117" s="129"/>
      <c r="J117" s="84"/>
      <c r="K117" s="84"/>
      <c r="L117" s="119"/>
      <c r="M117" s="119"/>
      <c r="N117" s="119"/>
      <c r="O117" s="84"/>
      <c r="P117" s="84"/>
      <c r="Q117" s="84"/>
      <c r="R117" s="84"/>
    </row>
    <row r="118" spans="1:19" s="13" customFormat="1" ht="17.25" customHeight="1" x14ac:dyDescent="0.2">
      <c r="A118" s="76"/>
      <c r="B118" s="76"/>
      <c r="C118" s="76"/>
      <c r="D118" s="77"/>
      <c r="E118" s="77"/>
      <c r="F118" s="77"/>
      <c r="G118" s="77"/>
      <c r="H118" s="129"/>
      <c r="I118" s="129"/>
      <c r="J118" s="84"/>
      <c r="K118" s="84"/>
      <c r="L118" s="119"/>
      <c r="M118" s="119"/>
      <c r="N118" s="119"/>
      <c r="O118" s="84"/>
      <c r="P118" s="84"/>
      <c r="Q118" s="84"/>
      <c r="R118" s="84"/>
    </row>
    <row r="119" spans="1:19" s="125" customFormat="1" ht="17.25" customHeight="1" x14ac:dyDescent="0.2">
      <c r="A119" s="101" t="str">
        <f>IF([1]Overflow!D26&gt;0,"GRAND TOTAL","TOTAL")</f>
        <v>TOTAL</v>
      </c>
      <c r="B119" s="102"/>
      <c r="C119" s="120" t="str">
        <f>IF([1]Overflow!D26&gt;0,[1]Overflow!D26+'PQ Form'!D119,"")</f>
        <v/>
      </c>
      <c r="D119" s="122">
        <f>SUM(D115:E118)</f>
        <v>0</v>
      </c>
      <c r="E119" s="122"/>
      <c r="F119" s="122">
        <f>SUM(F115:G118)</f>
        <v>0</v>
      </c>
      <c r="G119" s="122"/>
      <c r="H119" s="122">
        <f>SUM(H115:I118)</f>
        <v>0</v>
      </c>
      <c r="I119" s="122"/>
      <c r="J119" s="123"/>
      <c r="K119" s="123"/>
      <c r="L119" s="123"/>
      <c r="M119" s="123"/>
      <c r="N119" s="123"/>
      <c r="O119" s="123"/>
      <c r="P119" s="123"/>
      <c r="Q119" s="123"/>
      <c r="R119" s="124"/>
    </row>
    <row r="120" spans="1:19" s="114" customFormat="1" ht="17.25" customHeight="1" x14ac:dyDescent="0.2">
      <c r="A120" s="130" t="s">
        <v>62</v>
      </c>
      <c r="B120" s="130"/>
      <c r="C120" s="130"/>
      <c r="D120" s="130"/>
      <c r="E120" s="130"/>
      <c r="F120" s="130"/>
      <c r="G120" s="130"/>
      <c r="H120" s="130"/>
      <c r="I120" s="130"/>
      <c r="J120" s="131"/>
      <c r="K120" s="127"/>
      <c r="L120" s="127"/>
      <c r="M120" s="127"/>
      <c r="N120" s="127"/>
      <c r="O120" s="127"/>
      <c r="P120" s="127"/>
      <c r="Q120" s="127"/>
      <c r="R120" s="127"/>
    </row>
    <row r="121" spans="1:19" s="116" customFormat="1" ht="20" customHeight="1" x14ac:dyDescent="0.2">
      <c r="A121" s="65" t="s">
        <v>55</v>
      </c>
      <c r="B121" s="65"/>
      <c r="C121" s="65"/>
      <c r="D121" s="65" t="s">
        <v>42</v>
      </c>
      <c r="E121" s="65"/>
      <c r="F121" s="115" t="s">
        <v>53</v>
      </c>
      <c r="G121" s="115"/>
      <c r="H121" s="65" t="s">
        <v>63</v>
      </c>
      <c r="I121" s="65"/>
      <c r="J121" s="65" t="s">
        <v>57</v>
      </c>
      <c r="K121" s="65"/>
      <c r="L121" s="115" t="s">
        <v>46</v>
      </c>
      <c r="M121" s="115"/>
      <c r="N121" s="115" t="s">
        <v>58</v>
      </c>
      <c r="O121" s="65" t="s">
        <v>58</v>
      </c>
      <c r="P121" s="65"/>
      <c r="Q121" s="65"/>
      <c r="R121" s="65"/>
      <c r="S121" s="69"/>
    </row>
    <row r="122" spans="1:19" s="13" customFormat="1" ht="17.25" customHeight="1" x14ac:dyDescent="0.2">
      <c r="A122" s="76"/>
      <c r="B122" s="76"/>
      <c r="C122" s="76"/>
      <c r="D122" s="77"/>
      <c r="E122" s="77"/>
      <c r="F122" s="77"/>
      <c r="G122" s="77"/>
      <c r="H122" s="132"/>
      <c r="I122" s="132"/>
      <c r="J122" s="84"/>
      <c r="K122" s="84"/>
      <c r="L122" s="119"/>
      <c r="M122" s="119"/>
      <c r="N122" s="119"/>
      <c r="O122" s="84"/>
      <c r="P122" s="84"/>
      <c r="Q122" s="84"/>
      <c r="R122" s="84"/>
    </row>
    <row r="123" spans="1:19" s="13" customFormat="1" ht="17.25" customHeight="1" x14ac:dyDescent="0.2">
      <c r="A123" s="76"/>
      <c r="B123" s="76"/>
      <c r="C123" s="76"/>
      <c r="D123" s="77"/>
      <c r="E123" s="77"/>
      <c r="F123" s="77"/>
      <c r="G123" s="77"/>
      <c r="H123" s="132"/>
      <c r="I123" s="132"/>
      <c r="J123" s="84"/>
      <c r="K123" s="84"/>
      <c r="L123" s="119"/>
      <c r="M123" s="119"/>
      <c r="N123" s="119"/>
      <c r="O123" s="84"/>
      <c r="P123" s="84"/>
      <c r="Q123" s="84"/>
      <c r="R123" s="84"/>
    </row>
    <row r="124" spans="1:19" s="13" customFormat="1" ht="17.25" customHeight="1" x14ac:dyDescent="0.2">
      <c r="A124" s="76"/>
      <c r="B124" s="76"/>
      <c r="C124" s="76"/>
      <c r="D124" s="77"/>
      <c r="E124" s="77"/>
      <c r="F124" s="77"/>
      <c r="G124" s="77"/>
      <c r="H124" s="132"/>
      <c r="I124" s="132"/>
      <c r="J124" s="84"/>
      <c r="K124" s="84"/>
      <c r="L124" s="119"/>
      <c r="M124" s="119"/>
      <c r="N124" s="119"/>
      <c r="O124" s="84"/>
      <c r="P124" s="84"/>
      <c r="Q124" s="84"/>
      <c r="R124" s="84"/>
    </row>
    <row r="125" spans="1:19" s="13" customFormat="1" ht="17.25" customHeight="1" x14ac:dyDescent="0.2">
      <c r="A125" s="76"/>
      <c r="B125" s="76"/>
      <c r="C125" s="76"/>
      <c r="D125" s="77"/>
      <c r="E125" s="77"/>
      <c r="F125" s="77"/>
      <c r="G125" s="77"/>
      <c r="H125" s="132"/>
      <c r="I125" s="132"/>
      <c r="J125" s="84"/>
      <c r="K125" s="84"/>
      <c r="L125" s="119"/>
      <c r="M125" s="119"/>
      <c r="N125" s="119"/>
      <c r="O125" s="84"/>
      <c r="P125" s="84"/>
      <c r="Q125" s="84"/>
      <c r="R125" s="84"/>
    </row>
    <row r="126" spans="1:19" s="125" customFormat="1" ht="17.25" customHeight="1" x14ac:dyDescent="0.2">
      <c r="A126" s="101" t="str">
        <f>IF([1]Overflow!D33&gt;0,"GRAND TOTAL","TOTAL")</f>
        <v>TOTAL</v>
      </c>
      <c r="B126" s="102"/>
      <c r="C126" s="120" t="str">
        <f>IF([1]Overflow!D33&gt;0,[1]Overflow!D33+D126,"")</f>
        <v/>
      </c>
      <c r="D126" s="122">
        <f>SUM(D122:E125)</f>
        <v>0</v>
      </c>
      <c r="E126" s="122"/>
      <c r="F126" s="122">
        <f>SUM(F122:G125)</f>
        <v>0</v>
      </c>
      <c r="G126" s="122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4"/>
    </row>
    <row r="127" spans="1:19" s="114" customFormat="1" ht="17.25" customHeight="1" x14ac:dyDescent="0.2">
      <c r="A127" s="133" t="s">
        <v>64</v>
      </c>
      <c r="B127" s="133"/>
      <c r="C127" s="133"/>
      <c r="D127" s="134"/>
      <c r="E127" s="134"/>
      <c r="F127" s="134"/>
      <c r="G127" s="134"/>
      <c r="H127" s="134"/>
      <c r="J127" s="133" t="s">
        <v>65</v>
      </c>
      <c r="K127" s="133"/>
      <c r="L127" s="133"/>
      <c r="M127" s="135" t="s">
        <v>66</v>
      </c>
      <c r="N127" s="136"/>
      <c r="O127" s="136"/>
      <c r="P127" s="136"/>
      <c r="Q127" s="136"/>
      <c r="R127" s="136"/>
    </row>
    <row r="128" spans="1:19" s="116" customFormat="1" ht="20" customHeight="1" x14ac:dyDescent="0.2">
      <c r="A128" s="65" t="s">
        <v>41</v>
      </c>
      <c r="B128" s="65"/>
      <c r="C128" s="65"/>
      <c r="D128" s="115" t="s">
        <v>42</v>
      </c>
      <c r="E128" s="115"/>
      <c r="F128" s="137" t="s">
        <v>67</v>
      </c>
      <c r="G128" s="65" t="s">
        <v>68</v>
      </c>
      <c r="H128" s="65"/>
      <c r="I128" s="138"/>
      <c r="J128" s="65" t="s">
        <v>41</v>
      </c>
      <c r="K128" s="65"/>
      <c r="L128" s="65"/>
      <c r="M128" s="115" t="s">
        <v>69</v>
      </c>
      <c r="N128" s="115"/>
      <c r="O128" s="65" t="s">
        <v>63</v>
      </c>
      <c r="P128" s="65"/>
      <c r="Q128" s="65"/>
      <c r="R128" s="137" t="s">
        <v>68</v>
      </c>
    </row>
    <row r="129" spans="1:23" s="40" customFormat="1" ht="17.25" customHeight="1" x14ac:dyDescent="0.2">
      <c r="A129" s="76"/>
      <c r="B129" s="76"/>
      <c r="C129" s="76"/>
      <c r="D129" s="77"/>
      <c r="E129" s="77"/>
      <c r="F129" s="139"/>
      <c r="G129" s="84"/>
      <c r="H129" s="84"/>
      <c r="J129" s="76"/>
      <c r="K129" s="76"/>
      <c r="L129" s="76"/>
      <c r="M129" s="77"/>
      <c r="N129" s="77"/>
      <c r="O129" s="77"/>
      <c r="P129" s="77"/>
      <c r="Q129" s="77"/>
      <c r="R129" s="92"/>
    </row>
    <row r="130" spans="1:23" s="40" customFormat="1" ht="17.25" customHeight="1" x14ac:dyDescent="0.2">
      <c r="A130" s="76"/>
      <c r="B130" s="76"/>
      <c r="C130" s="76"/>
      <c r="D130" s="77"/>
      <c r="E130" s="77"/>
      <c r="F130" s="139"/>
      <c r="G130" s="84"/>
      <c r="H130" s="84"/>
      <c r="J130" s="76"/>
      <c r="K130" s="76"/>
      <c r="L130" s="76"/>
      <c r="M130" s="77"/>
      <c r="N130" s="77"/>
      <c r="O130" s="77"/>
      <c r="P130" s="77"/>
      <c r="Q130" s="77"/>
      <c r="R130" s="92"/>
    </row>
    <row r="131" spans="1:23" s="40" customFormat="1" ht="17.25" customHeight="1" x14ac:dyDescent="0.2">
      <c r="A131" s="76"/>
      <c r="B131" s="76"/>
      <c r="C131" s="76"/>
      <c r="D131" s="77"/>
      <c r="E131" s="77"/>
      <c r="F131" s="139"/>
      <c r="G131" s="84"/>
      <c r="H131" s="84"/>
      <c r="J131" s="76"/>
      <c r="K131" s="76"/>
      <c r="L131" s="76"/>
      <c r="M131" s="77"/>
      <c r="N131" s="77"/>
      <c r="O131" s="77"/>
      <c r="P131" s="77"/>
      <c r="Q131" s="77"/>
      <c r="R131" s="92"/>
    </row>
    <row r="132" spans="1:23" s="40" customFormat="1" ht="17.25" customHeight="1" x14ac:dyDescent="0.2">
      <c r="A132" s="101" t="str">
        <f>IF([1]Overflow!D45&gt;0,"GRAND TOTAL","TOTAL")</f>
        <v>TOTAL</v>
      </c>
      <c r="B132" s="102"/>
      <c r="C132" s="120" t="str">
        <f>IF([1]Overflow!D45&gt;0,[1]Overflow!D45+D132,"")</f>
        <v/>
      </c>
      <c r="D132" s="140">
        <f>SUM(D129:E131)</f>
        <v>0</v>
      </c>
      <c r="E132" s="140"/>
      <c r="F132" s="141"/>
      <c r="G132" s="142"/>
      <c r="H132" s="143"/>
      <c r="J132" s="144" t="str">
        <f>IF([1]Overflow!M39&gt;0,"GRAND TOTAL","TOTAL")</f>
        <v>TOTAL</v>
      </c>
      <c r="K132" s="145" t="str">
        <f>IF([1]Overflow!M39&gt;0,[1]Overflow!M39+M132,"")</f>
        <v/>
      </c>
      <c r="L132" s="146"/>
      <c r="M132" s="122">
        <f>SUM(M129:N131)</f>
        <v>0</v>
      </c>
      <c r="N132" s="122"/>
      <c r="O132" s="122">
        <f>SUM(O129:Q131)</f>
        <v>0</v>
      </c>
      <c r="P132" s="122"/>
      <c r="Q132" s="122"/>
      <c r="R132" s="147"/>
    </row>
    <row r="133" spans="1:23" ht="17.25" customHeight="1" x14ac:dyDescent="0.3">
      <c r="A133" s="113" t="s">
        <v>70</v>
      </c>
      <c r="B133" s="113"/>
      <c r="C133" s="113"/>
      <c r="D133" s="113"/>
      <c r="E133" s="113"/>
      <c r="F133" s="113"/>
      <c r="G133" s="113"/>
      <c r="H133" s="113"/>
      <c r="J133" s="133" t="s">
        <v>71</v>
      </c>
      <c r="K133" s="133"/>
      <c r="L133" s="133"/>
      <c r="M133" s="134"/>
      <c r="N133" s="134"/>
      <c r="O133" s="134"/>
      <c r="P133" s="134"/>
      <c r="Q133" s="134"/>
      <c r="R133" s="134"/>
      <c r="S133" s="63"/>
      <c r="T133" s="63"/>
      <c r="U133" s="63"/>
      <c r="V133" s="148"/>
      <c r="W133" s="148"/>
    </row>
    <row r="134" spans="1:23" s="116" customFormat="1" ht="17.25" customHeight="1" x14ac:dyDescent="0.2">
      <c r="A134" s="149"/>
      <c r="B134" s="149"/>
      <c r="C134" s="149"/>
      <c r="D134" s="149"/>
      <c r="E134" s="149"/>
      <c r="F134" s="149"/>
      <c r="G134" s="149"/>
      <c r="H134" s="149"/>
      <c r="J134" s="65" t="s">
        <v>41</v>
      </c>
      <c r="K134" s="65"/>
      <c r="L134" s="65"/>
      <c r="M134" s="65" t="s">
        <v>47</v>
      </c>
      <c r="N134" s="65"/>
      <c r="O134" s="65" t="s">
        <v>67</v>
      </c>
      <c r="P134" s="65"/>
      <c r="Q134" s="65"/>
      <c r="R134" s="137" t="s">
        <v>72</v>
      </c>
    </row>
    <row r="135" spans="1:23" s="116" customFormat="1" ht="17.25" customHeight="1" x14ac:dyDescent="0.2">
      <c r="A135" s="76"/>
      <c r="B135" s="76"/>
      <c r="C135" s="76"/>
      <c r="D135" s="76"/>
      <c r="E135" s="76"/>
      <c r="F135" s="76"/>
      <c r="G135" s="76"/>
      <c r="H135" s="76"/>
      <c r="J135" s="76"/>
      <c r="K135" s="76"/>
      <c r="L135" s="76"/>
      <c r="M135" s="77"/>
      <c r="N135" s="77"/>
      <c r="O135" s="99"/>
      <c r="P135" s="99"/>
      <c r="Q135" s="99"/>
      <c r="R135" s="150"/>
    </row>
    <row r="136" spans="1:23" s="40" customFormat="1" ht="17.25" customHeight="1" x14ac:dyDescent="0.2">
      <c r="A136" s="76"/>
      <c r="B136" s="76"/>
      <c r="C136" s="76"/>
      <c r="D136" s="76"/>
      <c r="E136" s="76"/>
      <c r="F136" s="76"/>
      <c r="G136" s="76"/>
      <c r="H136" s="76"/>
      <c r="J136" s="76"/>
      <c r="K136" s="76"/>
      <c r="L136" s="76"/>
      <c r="M136" s="77"/>
      <c r="N136" s="77"/>
      <c r="O136" s="99"/>
      <c r="P136" s="99"/>
      <c r="Q136" s="99"/>
      <c r="R136" s="150"/>
    </row>
    <row r="137" spans="1:23" s="40" customFormat="1" ht="17.25" customHeight="1" x14ac:dyDescent="0.2">
      <c r="A137" s="76"/>
      <c r="B137" s="76"/>
      <c r="C137" s="76"/>
      <c r="D137" s="76"/>
      <c r="E137" s="76"/>
      <c r="F137" s="76"/>
      <c r="G137" s="76"/>
      <c r="H137" s="76"/>
      <c r="J137" s="76"/>
      <c r="K137" s="76"/>
      <c r="L137" s="76"/>
      <c r="M137" s="77"/>
      <c r="N137" s="77"/>
      <c r="O137" s="99"/>
      <c r="P137" s="99"/>
      <c r="Q137" s="99"/>
      <c r="R137" s="150"/>
    </row>
    <row r="138" spans="1:23" s="117" customFormat="1" ht="17.25" customHeight="1" x14ac:dyDescent="0.2">
      <c r="A138" s="76"/>
      <c r="B138" s="76"/>
      <c r="C138" s="76"/>
      <c r="D138" s="76"/>
      <c r="E138" s="76"/>
      <c r="F138" s="76"/>
      <c r="G138" s="76"/>
      <c r="H138" s="76"/>
      <c r="J138" s="144" t="str">
        <f>IF([1]Overflow!M45,"GRAND TOTAL","TOTAL")</f>
        <v>TOTAL</v>
      </c>
      <c r="K138" s="145" t="str">
        <f>IF([1]Overflow!M45&gt;0,[1]Overflow!M45+M138,"")</f>
        <v/>
      </c>
      <c r="L138" s="146"/>
      <c r="M138" s="122">
        <f>SUM(M135:N137)</f>
        <v>0</v>
      </c>
      <c r="N138" s="122"/>
      <c r="O138" s="151"/>
      <c r="P138" s="151"/>
      <c r="Q138" s="151"/>
      <c r="R138" s="147"/>
    </row>
    <row r="139" spans="1:23" s="40" customFormat="1" ht="7.25" customHeight="1" x14ac:dyDescent="0.2">
      <c r="A139" s="152"/>
      <c r="B139" s="152"/>
      <c r="C139" s="152"/>
      <c r="D139" s="152"/>
      <c r="E139" s="152"/>
      <c r="F139" s="152"/>
      <c r="G139" s="152"/>
      <c r="H139" s="152"/>
      <c r="J139" s="43"/>
      <c r="K139" s="43"/>
      <c r="L139" s="43"/>
      <c r="M139" s="43"/>
      <c r="N139" s="43"/>
      <c r="O139" s="43"/>
      <c r="P139" s="43"/>
      <c r="Q139" s="43"/>
      <c r="R139" s="43"/>
    </row>
    <row r="140" spans="1:23" s="40" customFormat="1" ht="17.25" customHeight="1" x14ac:dyDescent="0.2">
      <c r="A140" s="101" t="s">
        <v>73</v>
      </c>
      <c r="B140" s="102"/>
      <c r="C140" s="102"/>
      <c r="D140" s="122">
        <f>D103-F103+D112+D119+D126+D132+M132-M138+M147+[1]Overflow!D47</f>
        <v>0</v>
      </c>
      <c r="E140" s="122"/>
      <c r="F140" s="153"/>
      <c r="G140" s="154"/>
      <c r="H140" s="154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</row>
    <row r="141" spans="1:23" s="158" customFormat="1" ht="17.25" customHeight="1" x14ac:dyDescent="0.2">
      <c r="A141" s="156" t="s">
        <v>74</v>
      </c>
      <c r="B141" s="156"/>
      <c r="C141" s="156"/>
      <c r="D141" s="156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14"/>
      <c r="T141" s="114"/>
      <c r="U141" s="114"/>
      <c r="V141" s="114"/>
      <c r="W141" s="114"/>
    </row>
    <row r="142" spans="1:23" s="116" customFormat="1" ht="20" customHeight="1" x14ac:dyDescent="0.2">
      <c r="A142" s="70" t="s">
        <v>75</v>
      </c>
      <c r="B142" s="159"/>
      <c r="C142" s="75"/>
      <c r="D142" s="137" t="s">
        <v>57</v>
      </c>
      <c r="E142" s="160" t="s">
        <v>76</v>
      </c>
      <c r="F142" s="161"/>
      <c r="G142" s="70" t="s">
        <v>77</v>
      </c>
      <c r="H142" s="75"/>
      <c r="I142" s="137" t="s">
        <v>68</v>
      </c>
      <c r="J142" s="137" t="s">
        <v>78</v>
      </c>
      <c r="K142" s="70" t="s">
        <v>79</v>
      </c>
      <c r="L142" s="75"/>
      <c r="M142" s="70" t="s">
        <v>80</v>
      </c>
      <c r="N142" s="159"/>
      <c r="O142" s="75"/>
      <c r="P142" s="70" t="s">
        <v>58</v>
      </c>
      <c r="Q142" s="159"/>
      <c r="R142" s="75"/>
    </row>
    <row r="143" spans="1:23" s="13" customFormat="1" ht="19.25" customHeight="1" x14ac:dyDescent="0.2">
      <c r="A143" s="85"/>
      <c r="B143" s="86"/>
      <c r="C143" s="87"/>
      <c r="D143" s="92"/>
      <c r="E143" s="94"/>
      <c r="F143" s="95"/>
      <c r="G143" s="96"/>
      <c r="H143" s="98"/>
      <c r="I143" s="92"/>
      <c r="J143" s="92"/>
      <c r="K143" s="94"/>
      <c r="L143" s="95"/>
      <c r="M143" s="94"/>
      <c r="N143" s="162"/>
      <c r="O143" s="95"/>
      <c r="P143" s="96"/>
      <c r="Q143" s="97"/>
      <c r="R143" s="98"/>
    </row>
    <row r="144" spans="1:23" s="163" customFormat="1" ht="19.25" customHeight="1" x14ac:dyDescent="0.2">
      <c r="A144" s="85"/>
      <c r="B144" s="86"/>
      <c r="C144" s="87"/>
      <c r="D144" s="92"/>
      <c r="E144" s="94"/>
      <c r="F144" s="95"/>
      <c r="G144" s="96"/>
      <c r="H144" s="98"/>
      <c r="I144" s="92"/>
      <c r="J144" s="92"/>
      <c r="K144" s="94"/>
      <c r="L144" s="95"/>
      <c r="M144" s="94"/>
      <c r="N144" s="162"/>
      <c r="O144" s="95"/>
      <c r="P144" s="96"/>
      <c r="Q144" s="97"/>
      <c r="R144" s="98"/>
    </row>
    <row r="145" spans="1:19" s="163" customFormat="1" ht="19.25" customHeight="1" x14ac:dyDescent="0.2">
      <c r="A145" s="85"/>
      <c r="B145" s="86"/>
      <c r="C145" s="87"/>
      <c r="D145" s="92"/>
      <c r="E145" s="94"/>
      <c r="F145" s="95"/>
      <c r="G145" s="96"/>
      <c r="H145" s="98"/>
      <c r="I145" s="92"/>
      <c r="J145" s="92"/>
      <c r="K145" s="94"/>
      <c r="L145" s="95"/>
      <c r="M145" s="94"/>
      <c r="N145" s="162"/>
      <c r="O145" s="95"/>
      <c r="P145" s="96"/>
      <c r="Q145" s="97"/>
      <c r="R145" s="98"/>
    </row>
    <row r="146" spans="1:19" s="163" customFormat="1" ht="19.25" customHeight="1" x14ac:dyDescent="0.2">
      <c r="A146" s="85"/>
      <c r="B146" s="86"/>
      <c r="C146" s="87"/>
      <c r="D146" s="92"/>
      <c r="E146" s="94"/>
      <c r="F146" s="95"/>
      <c r="G146" s="96"/>
      <c r="H146" s="98"/>
      <c r="I146" s="92"/>
      <c r="J146" s="92"/>
      <c r="K146" s="94"/>
      <c r="L146" s="95"/>
      <c r="M146" s="94"/>
      <c r="N146" s="162"/>
      <c r="O146" s="95"/>
      <c r="P146" s="96"/>
      <c r="Q146" s="97"/>
      <c r="R146" s="98"/>
    </row>
    <row r="147" spans="1:19" s="163" customFormat="1" ht="19.25" customHeight="1" x14ac:dyDescent="0.2">
      <c r="A147" s="101" t="s">
        <v>81</v>
      </c>
      <c r="B147" s="102"/>
      <c r="C147" s="102"/>
      <c r="D147" s="164"/>
      <c r="E147" s="122">
        <f>SUM(E143:F146)+[1]Overflow!E54</f>
        <v>0</v>
      </c>
      <c r="F147" s="122"/>
      <c r="G147" s="97"/>
      <c r="H147" s="97"/>
      <c r="I147" s="164"/>
      <c r="J147" s="164"/>
      <c r="K147" s="122">
        <f>SUM(K143:L146)</f>
        <v>0</v>
      </c>
      <c r="L147" s="122"/>
      <c r="M147" s="122">
        <f>SUM(M143:O146)</f>
        <v>0</v>
      </c>
      <c r="N147" s="122"/>
      <c r="O147" s="122"/>
      <c r="P147" s="97"/>
      <c r="Q147" s="97"/>
      <c r="R147" s="98"/>
    </row>
    <row r="148" spans="1:19" s="163" customFormat="1" ht="19.25" customHeight="1" x14ac:dyDescent="0.2">
      <c r="A148" s="113" t="s">
        <v>70</v>
      </c>
      <c r="B148" s="113"/>
      <c r="C148" s="113"/>
      <c r="D148" s="113"/>
      <c r="E148" s="113"/>
      <c r="F148" s="113"/>
      <c r="G148" s="113"/>
      <c r="H148" s="113"/>
      <c r="I148" s="165"/>
      <c r="J148" s="165"/>
      <c r="K148" s="162"/>
      <c r="L148" s="162"/>
      <c r="M148" s="162"/>
      <c r="N148" s="162"/>
      <c r="O148" s="162"/>
      <c r="P148" s="97"/>
      <c r="Q148" s="97"/>
      <c r="R148" s="97"/>
    </row>
    <row r="149" spans="1:19" s="163" customFormat="1" ht="19.25" customHeight="1" x14ac:dyDescent="0.2">
      <c r="A149" s="166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8"/>
    </row>
    <row r="150" spans="1:19" s="163" customFormat="1" ht="19.25" customHeight="1" x14ac:dyDescent="0.2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</row>
    <row r="151" spans="1:19" s="163" customFormat="1" ht="19.25" customHeight="1" x14ac:dyDescent="0.2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</row>
    <row r="152" spans="1:19" s="163" customFormat="1" ht="19.25" customHeight="1" x14ac:dyDescent="0.2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</row>
    <row r="153" spans="1:19" s="163" customFormat="1" ht="19.25" customHeight="1" x14ac:dyDescent="0.2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</row>
    <row r="154" spans="1:19" s="163" customFormat="1" ht="19.25" customHeight="1" x14ac:dyDescent="0.2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</row>
    <row r="155" spans="1:19" s="171" customFormat="1" ht="17" x14ac:dyDescent="0.2">
      <c r="A155" s="113" t="s">
        <v>82</v>
      </c>
      <c r="B155" s="113"/>
      <c r="C155" s="113"/>
      <c r="D155" s="113"/>
      <c r="E155" s="113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</row>
    <row r="156" spans="1:19" s="116" customFormat="1" ht="19.5" customHeight="1" x14ac:dyDescent="0.2">
      <c r="A156" s="65" t="s">
        <v>44</v>
      </c>
      <c r="B156" s="65"/>
      <c r="C156" s="65"/>
      <c r="D156" s="65" t="s">
        <v>83</v>
      </c>
      <c r="E156" s="65"/>
      <c r="F156" s="115" t="s">
        <v>84</v>
      </c>
      <c r="G156" s="115"/>
      <c r="H156" s="115" t="s">
        <v>85</v>
      </c>
      <c r="I156" s="115"/>
      <c r="J156" s="65" t="s">
        <v>68</v>
      </c>
      <c r="K156" s="65"/>
      <c r="L156" s="172" t="s">
        <v>86</v>
      </c>
      <c r="M156" s="115" t="s">
        <v>87</v>
      </c>
      <c r="N156" s="115"/>
      <c r="O156" s="115"/>
      <c r="P156" s="70" t="s">
        <v>88</v>
      </c>
      <c r="Q156" s="159"/>
      <c r="R156" s="75"/>
    </row>
    <row r="157" spans="1:19" s="40" customFormat="1" ht="20" customHeight="1" x14ac:dyDescent="0.2">
      <c r="A157" s="85"/>
      <c r="B157" s="86"/>
      <c r="C157" s="87"/>
      <c r="D157" s="94"/>
      <c r="E157" s="95"/>
      <c r="F157" s="77"/>
      <c r="G157" s="77"/>
      <c r="H157" s="84"/>
      <c r="I157" s="84"/>
      <c r="J157" s="96"/>
      <c r="K157" s="98"/>
      <c r="L157" s="173"/>
      <c r="M157" s="174"/>
      <c r="N157" s="175"/>
      <c r="O157" s="176"/>
      <c r="P157" s="177"/>
      <c r="Q157" s="178"/>
      <c r="R157" s="179"/>
    </row>
    <row r="158" spans="1:19" s="40" customFormat="1" ht="20" customHeight="1" x14ac:dyDescent="0.2">
      <c r="A158" s="85"/>
      <c r="B158" s="86"/>
      <c r="C158" s="87"/>
      <c r="D158" s="94"/>
      <c r="E158" s="95"/>
      <c r="F158" s="77"/>
      <c r="G158" s="77"/>
      <c r="H158" s="84"/>
      <c r="I158" s="84"/>
      <c r="J158" s="96"/>
      <c r="K158" s="98"/>
      <c r="L158" s="173"/>
      <c r="M158" s="180"/>
      <c r="N158" s="181"/>
      <c r="O158" s="182"/>
      <c r="P158" s="183"/>
      <c r="Q158" s="184"/>
      <c r="R158" s="185"/>
    </row>
    <row r="159" spans="1:19" s="40" customFormat="1" ht="20" customHeight="1" x14ac:dyDescent="0.2">
      <c r="A159" s="85"/>
      <c r="B159" s="86"/>
      <c r="C159" s="87"/>
      <c r="D159" s="94"/>
      <c r="E159" s="95"/>
      <c r="F159" s="77"/>
      <c r="G159" s="77"/>
      <c r="H159" s="84"/>
      <c r="I159" s="84"/>
      <c r="J159" s="96"/>
      <c r="K159" s="98"/>
      <c r="L159" s="173"/>
      <c r="M159" s="65" t="s">
        <v>89</v>
      </c>
      <c r="N159" s="159"/>
      <c r="O159" s="75"/>
      <c r="P159" s="68" t="s">
        <v>90</v>
      </c>
      <c r="Q159" s="159"/>
      <c r="R159" s="75"/>
    </row>
    <row r="160" spans="1:19" s="40" customFormat="1" ht="20" customHeight="1" x14ac:dyDescent="0.2">
      <c r="A160" s="85"/>
      <c r="B160" s="86"/>
      <c r="C160" s="87"/>
      <c r="D160" s="94"/>
      <c r="E160" s="95"/>
      <c r="F160" s="77"/>
      <c r="G160" s="77"/>
      <c r="H160" s="84"/>
      <c r="I160" s="84"/>
      <c r="J160" s="96"/>
      <c r="K160" s="98"/>
      <c r="L160" s="173"/>
      <c r="M160" s="174"/>
      <c r="N160" s="175"/>
      <c r="O160" s="176"/>
      <c r="P160" s="186" t="s">
        <v>91</v>
      </c>
      <c r="Q160" s="187"/>
      <c r="R160" s="188"/>
    </row>
    <row r="161" spans="1:23" s="40" customFormat="1" ht="20" customHeight="1" x14ac:dyDescent="0.2">
      <c r="A161" s="85"/>
      <c r="B161" s="86"/>
      <c r="C161" s="87"/>
      <c r="D161" s="94"/>
      <c r="E161" s="95"/>
      <c r="F161" s="77"/>
      <c r="G161" s="77"/>
      <c r="H161" s="84"/>
      <c r="I161" s="84"/>
      <c r="J161" s="96"/>
      <c r="K161" s="98"/>
      <c r="L161" s="173"/>
      <c r="M161" s="65" t="s">
        <v>92</v>
      </c>
      <c r="N161" s="65"/>
      <c r="O161" s="70"/>
      <c r="P161" s="189">
        <f>[1]Overflow!P62+[1]Overflow!R62</f>
        <v>0</v>
      </c>
      <c r="Q161" s="190"/>
      <c r="R161" s="191"/>
    </row>
    <row r="162" spans="1:23" s="40" customFormat="1" ht="20" customHeight="1" x14ac:dyDescent="0.2">
      <c r="A162" s="85"/>
      <c r="B162" s="86"/>
      <c r="C162" s="87"/>
      <c r="D162" s="94"/>
      <c r="E162" s="95"/>
      <c r="F162" s="77"/>
      <c r="G162" s="77"/>
      <c r="H162" s="84"/>
      <c r="I162" s="84"/>
      <c r="J162" s="96"/>
      <c r="K162" s="98"/>
      <c r="L162" s="173"/>
      <c r="M162" s="174">
        <f ca="1">[1]Overflow!M63</f>
        <v>0</v>
      </c>
      <c r="N162" s="175"/>
      <c r="O162" s="176"/>
      <c r="P162" s="186" t="s">
        <v>93</v>
      </c>
      <c r="Q162" s="187"/>
      <c r="R162" s="188"/>
    </row>
    <row r="163" spans="1:23" s="69" customFormat="1" ht="20" customHeight="1" x14ac:dyDescent="0.2">
      <c r="A163" s="85"/>
      <c r="B163" s="86"/>
      <c r="C163" s="87"/>
      <c r="D163" s="94"/>
      <c r="E163" s="95"/>
      <c r="F163" s="77"/>
      <c r="G163" s="77"/>
      <c r="H163" s="84"/>
      <c r="I163" s="84"/>
      <c r="J163" s="96"/>
      <c r="K163" s="98"/>
      <c r="L163" s="173"/>
      <c r="M163" s="65" t="s">
        <v>94</v>
      </c>
      <c r="N163" s="65"/>
      <c r="O163" s="70"/>
      <c r="P163" s="189">
        <f>[1]Overflow!P64+[1]Overflow!R64</f>
        <v>0</v>
      </c>
      <c r="Q163" s="190"/>
      <c r="R163" s="191"/>
    </row>
    <row r="164" spans="1:23" s="117" customFormat="1" ht="20" customHeight="1" x14ac:dyDescent="0.2">
      <c r="A164" s="85"/>
      <c r="B164" s="86"/>
      <c r="C164" s="87"/>
      <c r="D164" s="94"/>
      <c r="E164" s="95"/>
      <c r="F164" s="118"/>
      <c r="G164" s="118"/>
      <c r="H164" s="119"/>
      <c r="I164" s="119"/>
      <c r="J164" s="96"/>
      <c r="K164" s="98"/>
      <c r="L164" s="192"/>
      <c r="M164" s="174">
        <f ca="1">[1]Overflow!M65</f>
        <v>0</v>
      </c>
      <c r="N164" s="175"/>
      <c r="O164" s="176"/>
      <c r="P164" s="193" t="s">
        <v>95</v>
      </c>
      <c r="Q164" s="194"/>
      <c r="R164" s="195"/>
    </row>
    <row r="165" spans="1:23" ht="20" customHeight="1" x14ac:dyDescent="0.2">
      <c r="A165" s="101" t="s">
        <v>81</v>
      </c>
      <c r="B165" s="102"/>
      <c r="C165" s="102"/>
      <c r="D165" s="196">
        <f>SUM(D157:D164)</f>
        <v>0</v>
      </c>
      <c r="E165" s="196"/>
      <c r="F165" s="196">
        <f>SUM(F157:G164)</f>
        <v>0</v>
      </c>
      <c r="G165" s="196"/>
      <c r="H165" s="197" t="s">
        <v>96</v>
      </c>
      <c r="I165" s="198"/>
      <c r="J165" s="198"/>
      <c r="K165" s="198"/>
      <c r="L165" s="199">
        <f>F112+[1]Overflow!F19</f>
        <v>0</v>
      </c>
      <c r="M165" s="200"/>
      <c r="N165" s="200"/>
      <c r="O165" s="201"/>
      <c r="P165" s="202">
        <f>SUM([1]Overflow!P66,[1]Overflow!R66)</f>
        <v>0</v>
      </c>
      <c r="Q165" s="203"/>
      <c r="R165" s="204"/>
      <c r="S165" s="63"/>
      <c r="T165" s="63"/>
      <c r="U165" s="63"/>
      <c r="V165" s="63"/>
      <c r="W165" s="63"/>
    </row>
    <row r="166" spans="1:23" ht="10.75" customHeight="1" x14ac:dyDescent="0.2">
      <c r="A166" s="205"/>
      <c r="B166" s="205"/>
      <c r="C166" s="205"/>
      <c r="D166" s="206"/>
      <c r="E166" s="206"/>
      <c r="F166" s="206"/>
      <c r="G166" s="138"/>
      <c r="H166" s="138"/>
      <c r="I166" s="138"/>
      <c r="J166" s="138"/>
      <c r="K166" s="138"/>
      <c r="L166" s="138"/>
      <c r="M166" s="207"/>
      <c r="N166" s="207"/>
      <c r="O166" s="207"/>
      <c r="P166" s="208"/>
      <c r="S166" s="63"/>
      <c r="T166" s="63"/>
      <c r="U166" s="63"/>
      <c r="V166" s="63"/>
      <c r="W166" s="63"/>
    </row>
    <row r="167" spans="1:23" ht="17.25" customHeight="1" x14ac:dyDescent="0.2">
      <c r="A167" s="101" t="s">
        <v>97</v>
      </c>
      <c r="B167" s="102"/>
      <c r="C167" s="209"/>
      <c r="D167" s="210">
        <f>F119+F126+F112+[1]Overflow!D68</f>
        <v>0</v>
      </c>
      <c r="E167" s="210"/>
      <c r="F167" s="210"/>
      <c r="G167" s="138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63"/>
      <c r="T167" s="63"/>
      <c r="U167" s="63"/>
      <c r="V167" s="63"/>
      <c r="W167" s="63"/>
    </row>
    <row r="168" spans="1:23" ht="17.25" customHeight="1" x14ac:dyDescent="0.2">
      <c r="A168" s="211" t="s">
        <v>98</v>
      </c>
      <c r="B168" s="211"/>
      <c r="C168" s="211"/>
      <c r="D168" s="210">
        <f>D165-D167-P157-P161-P163-P165+[1]Overflow!D66</f>
        <v>0</v>
      </c>
      <c r="E168" s="210"/>
      <c r="F168" s="210"/>
      <c r="G168" s="138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63"/>
      <c r="T168" s="63"/>
      <c r="U168" s="63"/>
      <c r="V168" s="63"/>
      <c r="W168" s="63"/>
    </row>
    <row r="169" spans="1:23" s="40" customFormat="1" ht="10.75" customHeight="1" x14ac:dyDescent="0.2">
      <c r="A169" s="212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</row>
    <row r="170" spans="1:23" s="40" customFormat="1" ht="18" customHeight="1" x14ac:dyDescent="0.2">
      <c r="A170" s="213" t="str">
        <f>"Retirement Benefit: "&amp;A50</f>
        <v xml:space="preserve">Retirement Benefit: </v>
      </c>
      <c r="B170" s="213"/>
      <c r="C170" s="213"/>
      <c r="D170" s="213"/>
      <c r="E170" s="213"/>
      <c r="F170" s="117"/>
      <c r="G170" s="117"/>
      <c r="H170" s="117"/>
      <c r="I170" s="117"/>
      <c r="J170" s="117"/>
      <c r="K170" s="117"/>
      <c r="M170" s="117"/>
      <c r="O170" s="117"/>
      <c r="P170" s="117"/>
      <c r="Q170" s="117"/>
      <c r="R170" s="117"/>
    </row>
    <row r="171" spans="1:23" s="40" customFormat="1" ht="18" customHeight="1" x14ac:dyDescent="0.2">
      <c r="A171" s="213" t="str">
        <f>"Retirement Benefit: "&amp;A52</f>
        <v xml:space="preserve">Retirement Benefit: </v>
      </c>
      <c r="B171" s="213"/>
      <c r="C171" s="213"/>
      <c r="D171" s="213"/>
      <c r="E171" s="213"/>
      <c r="F171" s="214"/>
      <c r="G171" s="214"/>
      <c r="H171" s="214"/>
      <c r="I171" s="214"/>
      <c r="J171" s="214"/>
      <c r="K171" s="214"/>
      <c r="M171" s="214"/>
      <c r="N171" s="214"/>
      <c r="O171" s="214"/>
      <c r="P171" s="214"/>
      <c r="Q171" s="214"/>
      <c r="R171" s="214"/>
    </row>
    <row r="172" spans="1:23" s="158" customFormat="1" ht="17.25" customHeight="1" x14ac:dyDescent="0.2">
      <c r="A172" s="215"/>
      <c r="B172" s="215"/>
      <c r="C172" s="215"/>
      <c r="D172" s="215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</row>
    <row r="173" spans="1:23" s="40" customFormat="1" ht="20.75" customHeight="1" x14ac:dyDescent="0.2">
      <c r="A173" s="215" t="s">
        <v>99</v>
      </c>
      <c r="B173" s="215"/>
      <c r="C173" s="215"/>
      <c r="D173" s="215"/>
      <c r="E173" s="215"/>
      <c r="F173" s="215"/>
      <c r="G173" s="215"/>
      <c r="H173" s="216"/>
      <c r="I173" s="216"/>
      <c r="J173" s="215" t="s">
        <v>100</v>
      </c>
      <c r="K173" s="215"/>
      <c r="L173" s="215"/>
      <c r="M173" s="215"/>
      <c r="N173" s="215"/>
      <c r="O173" s="215"/>
      <c r="P173" s="215"/>
      <c r="Q173" s="215"/>
      <c r="R173" s="215"/>
    </row>
    <row r="174" spans="1:23" s="40" customFormat="1" ht="20.75" customHeight="1" x14ac:dyDescent="0.2">
      <c r="A174" s="217"/>
      <c r="B174" s="217"/>
      <c r="C174" s="217"/>
      <c r="D174" s="217"/>
      <c r="E174" s="217"/>
      <c r="F174" s="217"/>
      <c r="G174" s="217"/>
      <c r="H174" s="216"/>
      <c r="I174" s="216"/>
      <c r="J174" s="218"/>
      <c r="K174" s="218"/>
      <c r="L174" s="218"/>
      <c r="M174" s="218"/>
      <c r="N174" s="218"/>
      <c r="O174" s="218"/>
      <c r="P174" s="218"/>
      <c r="Q174" s="218"/>
      <c r="R174" s="218"/>
    </row>
    <row r="175" spans="1:23" s="40" customFormat="1" ht="20.75" customHeight="1" x14ac:dyDescent="0.2">
      <c r="A175" s="217"/>
      <c r="B175" s="217"/>
      <c r="C175" s="217"/>
      <c r="D175" s="217"/>
      <c r="E175" s="217"/>
      <c r="F175" s="217"/>
      <c r="G175" s="217"/>
      <c r="H175" s="216"/>
      <c r="I175" s="216"/>
      <c r="J175" s="218"/>
      <c r="K175" s="218"/>
      <c r="L175" s="218"/>
      <c r="M175" s="218"/>
      <c r="N175" s="218"/>
      <c r="O175" s="218"/>
      <c r="P175" s="218"/>
      <c r="Q175" s="218"/>
      <c r="R175" s="218"/>
    </row>
    <row r="176" spans="1:23" s="40" customFormat="1" ht="20.75" customHeight="1" x14ac:dyDescent="0.2">
      <c r="A176" s="217"/>
      <c r="B176" s="217"/>
      <c r="C176" s="217"/>
      <c r="D176" s="217"/>
      <c r="E176" s="217"/>
      <c r="F176" s="217"/>
      <c r="G176" s="217"/>
      <c r="H176" s="216"/>
      <c r="I176" s="216"/>
      <c r="J176" s="218"/>
      <c r="K176" s="218"/>
      <c r="L176" s="218"/>
      <c r="M176" s="218"/>
      <c r="N176" s="218"/>
      <c r="O176" s="218"/>
      <c r="P176" s="218"/>
      <c r="Q176" s="218"/>
      <c r="R176" s="218"/>
    </row>
    <row r="177" spans="1:18" s="40" customFormat="1" ht="20.75" customHeight="1" x14ac:dyDescent="0.2">
      <c r="A177" s="217"/>
      <c r="B177" s="217"/>
      <c r="C177" s="217"/>
      <c r="D177" s="217"/>
      <c r="E177" s="217"/>
      <c r="F177" s="217"/>
      <c r="G177" s="217"/>
      <c r="H177" s="216"/>
      <c r="I177" s="216"/>
      <c r="J177" s="218"/>
      <c r="K177" s="218"/>
      <c r="L177" s="218"/>
      <c r="M177" s="218"/>
      <c r="N177" s="218"/>
      <c r="O177" s="218"/>
      <c r="P177" s="218"/>
      <c r="Q177" s="218"/>
      <c r="R177" s="218"/>
    </row>
    <row r="178" spans="1:18" s="40" customFormat="1" ht="20.75" customHeight="1" x14ac:dyDescent="0.2">
      <c r="A178" s="217"/>
      <c r="B178" s="217"/>
      <c r="C178" s="217"/>
      <c r="D178" s="217"/>
      <c r="E178" s="217"/>
      <c r="F178" s="217"/>
      <c r="G178" s="217"/>
      <c r="H178" s="216"/>
      <c r="I178" s="216"/>
      <c r="J178" s="218"/>
      <c r="K178" s="218"/>
      <c r="L178" s="218"/>
      <c r="M178" s="218"/>
      <c r="N178" s="218"/>
      <c r="O178" s="218"/>
      <c r="P178" s="218"/>
      <c r="Q178" s="218"/>
      <c r="R178" s="218"/>
    </row>
    <row r="179" spans="1:18" s="40" customFormat="1" ht="20.75" customHeight="1" x14ac:dyDescent="0.2">
      <c r="A179" s="217"/>
      <c r="B179" s="217"/>
      <c r="C179" s="217"/>
      <c r="D179" s="217"/>
      <c r="E179" s="217"/>
      <c r="F179" s="217"/>
      <c r="G179" s="217"/>
      <c r="H179" s="216"/>
      <c r="I179" s="216"/>
      <c r="J179" s="218"/>
      <c r="K179" s="218"/>
      <c r="L179" s="218"/>
      <c r="M179" s="218"/>
      <c r="N179" s="218"/>
      <c r="O179" s="218"/>
      <c r="P179" s="218"/>
      <c r="Q179" s="218"/>
      <c r="R179" s="218"/>
    </row>
    <row r="180" spans="1:18" s="40" customFormat="1" ht="20.75" customHeight="1" x14ac:dyDescent="0.2">
      <c r="A180" s="217"/>
      <c r="B180" s="217"/>
      <c r="C180" s="217"/>
      <c r="D180" s="217"/>
      <c r="E180" s="217"/>
      <c r="F180" s="217"/>
      <c r="G180" s="217"/>
      <c r="H180" s="216"/>
      <c r="I180" s="216"/>
      <c r="J180" s="218"/>
      <c r="K180" s="218"/>
      <c r="L180" s="218"/>
      <c r="M180" s="218"/>
      <c r="N180" s="218"/>
      <c r="O180" s="218"/>
      <c r="P180" s="218"/>
      <c r="Q180" s="218"/>
      <c r="R180" s="218"/>
    </row>
  </sheetData>
  <sheetProtection formatCells="0" formatColumns="0" formatRows="0" insertColumns="0" insertRows="0" deleteColumns="0" deleteRows="0" selectLockedCells="1"/>
  <dataConsolidate/>
  <mergeCells count="551">
    <mergeCell ref="A180:G180"/>
    <mergeCell ref="J180:R180"/>
    <mergeCell ref="A177:G177"/>
    <mergeCell ref="J177:R177"/>
    <mergeCell ref="A178:G178"/>
    <mergeCell ref="J178:R178"/>
    <mergeCell ref="A179:G179"/>
    <mergeCell ref="J179:R179"/>
    <mergeCell ref="A174:G174"/>
    <mergeCell ref="J174:R174"/>
    <mergeCell ref="A175:G175"/>
    <mergeCell ref="J175:R175"/>
    <mergeCell ref="A176:G176"/>
    <mergeCell ref="J176:R176"/>
    <mergeCell ref="A169:R169"/>
    <mergeCell ref="A170:E170"/>
    <mergeCell ref="A171:E171"/>
    <mergeCell ref="A172:R172"/>
    <mergeCell ref="A173:G173"/>
    <mergeCell ref="J173:R173"/>
    <mergeCell ref="M166:O166"/>
    <mergeCell ref="A167:C167"/>
    <mergeCell ref="D167:F167"/>
    <mergeCell ref="H167:R168"/>
    <mergeCell ref="A168:C168"/>
    <mergeCell ref="D168:F168"/>
    <mergeCell ref="A165:C165"/>
    <mergeCell ref="D165:E165"/>
    <mergeCell ref="F165:G165"/>
    <mergeCell ref="H165:K165"/>
    <mergeCell ref="L165:O165"/>
    <mergeCell ref="P165:R165"/>
    <mergeCell ref="P163:R163"/>
    <mergeCell ref="A164:C164"/>
    <mergeCell ref="D164:E164"/>
    <mergeCell ref="F164:G164"/>
    <mergeCell ref="H164:I164"/>
    <mergeCell ref="J164:K164"/>
    <mergeCell ref="M164:O164"/>
    <mergeCell ref="P164:R164"/>
    <mergeCell ref="A163:C163"/>
    <mergeCell ref="D163:E163"/>
    <mergeCell ref="F163:G163"/>
    <mergeCell ref="H163:I163"/>
    <mergeCell ref="J163:K163"/>
    <mergeCell ref="M163:O163"/>
    <mergeCell ref="P161:R161"/>
    <mergeCell ref="A162:C162"/>
    <mergeCell ref="D162:E162"/>
    <mergeCell ref="F162:G162"/>
    <mergeCell ref="H162:I162"/>
    <mergeCell ref="J162:K162"/>
    <mergeCell ref="M162:O162"/>
    <mergeCell ref="P162:R162"/>
    <mergeCell ref="A161:C161"/>
    <mergeCell ref="D161:E161"/>
    <mergeCell ref="F161:G161"/>
    <mergeCell ref="H161:I161"/>
    <mergeCell ref="J161:K161"/>
    <mergeCell ref="M161:O161"/>
    <mergeCell ref="M159:O159"/>
    <mergeCell ref="P159:R159"/>
    <mergeCell ref="A160:C160"/>
    <mergeCell ref="D160:E160"/>
    <mergeCell ref="F160:G160"/>
    <mergeCell ref="H160:I160"/>
    <mergeCell ref="J160:K160"/>
    <mergeCell ref="M160:O160"/>
    <mergeCell ref="P160:R160"/>
    <mergeCell ref="F158:G158"/>
    <mergeCell ref="H158:I158"/>
    <mergeCell ref="J158:K158"/>
    <mergeCell ref="A159:C159"/>
    <mergeCell ref="D159:E159"/>
    <mergeCell ref="F159:G159"/>
    <mergeCell ref="H159:I159"/>
    <mergeCell ref="J159:K159"/>
    <mergeCell ref="P156:R156"/>
    <mergeCell ref="A157:C157"/>
    <mergeCell ref="D157:E157"/>
    <mergeCell ref="F157:G157"/>
    <mergeCell ref="H157:I157"/>
    <mergeCell ref="J157:K157"/>
    <mergeCell ref="M157:O158"/>
    <mergeCell ref="P157:R158"/>
    <mergeCell ref="A158:C158"/>
    <mergeCell ref="D158:E158"/>
    <mergeCell ref="A156:C156"/>
    <mergeCell ref="D156:E156"/>
    <mergeCell ref="F156:G156"/>
    <mergeCell ref="H156:I156"/>
    <mergeCell ref="J156:K156"/>
    <mergeCell ref="M156:O156"/>
    <mergeCell ref="A151:R151"/>
    <mergeCell ref="A152:R152"/>
    <mergeCell ref="A153:R153"/>
    <mergeCell ref="A154:R154"/>
    <mergeCell ref="A155:E155"/>
    <mergeCell ref="F155:S155"/>
    <mergeCell ref="A148:H148"/>
    <mergeCell ref="K148:L148"/>
    <mergeCell ref="M148:O148"/>
    <mergeCell ref="P148:R148"/>
    <mergeCell ref="A149:R149"/>
    <mergeCell ref="A150:R150"/>
    <mergeCell ref="A147:C147"/>
    <mergeCell ref="E147:F147"/>
    <mergeCell ref="G147:H147"/>
    <mergeCell ref="K147:L147"/>
    <mergeCell ref="M147:O147"/>
    <mergeCell ref="P147:R147"/>
    <mergeCell ref="A146:C146"/>
    <mergeCell ref="E146:F146"/>
    <mergeCell ref="G146:H146"/>
    <mergeCell ref="K146:L146"/>
    <mergeCell ref="M146:O146"/>
    <mergeCell ref="P146:R146"/>
    <mergeCell ref="A145:C145"/>
    <mergeCell ref="E145:F145"/>
    <mergeCell ref="G145:H145"/>
    <mergeCell ref="K145:L145"/>
    <mergeCell ref="M145:O145"/>
    <mergeCell ref="P145:R145"/>
    <mergeCell ref="A144:C144"/>
    <mergeCell ref="E144:F144"/>
    <mergeCell ref="G144:H144"/>
    <mergeCell ref="K144:L144"/>
    <mergeCell ref="M144:O144"/>
    <mergeCell ref="P144:R144"/>
    <mergeCell ref="A143:C143"/>
    <mergeCell ref="E143:F143"/>
    <mergeCell ref="G143:H143"/>
    <mergeCell ref="K143:L143"/>
    <mergeCell ref="M143:O143"/>
    <mergeCell ref="P143:R143"/>
    <mergeCell ref="A142:C142"/>
    <mergeCell ref="E142:F142"/>
    <mergeCell ref="G142:H142"/>
    <mergeCell ref="K142:L142"/>
    <mergeCell ref="M142:O142"/>
    <mergeCell ref="P142:R142"/>
    <mergeCell ref="A139:H139"/>
    <mergeCell ref="J139:R139"/>
    <mergeCell ref="A140:C140"/>
    <mergeCell ref="D140:F140"/>
    <mergeCell ref="I140:R140"/>
    <mergeCell ref="A141:D141"/>
    <mergeCell ref="E141:R141"/>
    <mergeCell ref="A137:H137"/>
    <mergeCell ref="J137:L137"/>
    <mergeCell ref="M137:N137"/>
    <mergeCell ref="O137:Q137"/>
    <mergeCell ref="A138:H138"/>
    <mergeCell ref="K138:L138"/>
    <mergeCell ref="M138:N138"/>
    <mergeCell ref="O138:Q138"/>
    <mergeCell ref="A135:H135"/>
    <mergeCell ref="J135:L135"/>
    <mergeCell ref="M135:N135"/>
    <mergeCell ref="O135:Q135"/>
    <mergeCell ref="A136:H136"/>
    <mergeCell ref="J136:L136"/>
    <mergeCell ref="M136:N136"/>
    <mergeCell ref="O136:Q136"/>
    <mergeCell ref="A133:H133"/>
    <mergeCell ref="J133:L133"/>
    <mergeCell ref="M133:R133"/>
    <mergeCell ref="A134:H134"/>
    <mergeCell ref="J134:L134"/>
    <mergeCell ref="M134:N134"/>
    <mergeCell ref="O134:Q134"/>
    <mergeCell ref="A132:B132"/>
    <mergeCell ref="D132:E132"/>
    <mergeCell ref="G132:H132"/>
    <mergeCell ref="K132:L132"/>
    <mergeCell ref="M132:N132"/>
    <mergeCell ref="O132:Q132"/>
    <mergeCell ref="A131:C131"/>
    <mergeCell ref="D131:E131"/>
    <mergeCell ref="G131:H131"/>
    <mergeCell ref="J131:L131"/>
    <mergeCell ref="M131:N131"/>
    <mergeCell ref="O131:Q131"/>
    <mergeCell ref="A130:C130"/>
    <mergeCell ref="D130:E130"/>
    <mergeCell ref="G130:H130"/>
    <mergeCell ref="J130:L130"/>
    <mergeCell ref="M130:N130"/>
    <mergeCell ref="O130:Q130"/>
    <mergeCell ref="A129:C129"/>
    <mergeCell ref="D129:E129"/>
    <mergeCell ref="G129:H129"/>
    <mergeCell ref="J129:L129"/>
    <mergeCell ref="M129:N129"/>
    <mergeCell ref="O129:Q129"/>
    <mergeCell ref="A127:C127"/>
    <mergeCell ref="D127:H127"/>
    <mergeCell ref="J127:L127"/>
    <mergeCell ref="M127:R127"/>
    <mergeCell ref="A128:C128"/>
    <mergeCell ref="D128:E128"/>
    <mergeCell ref="G128:H128"/>
    <mergeCell ref="J128:L128"/>
    <mergeCell ref="M128:N128"/>
    <mergeCell ref="O128:Q128"/>
    <mergeCell ref="A126:B126"/>
    <mergeCell ref="D126:E126"/>
    <mergeCell ref="F126:G126"/>
    <mergeCell ref="H126:I126"/>
    <mergeCell ref="J126:K126"/>
    <mergeCell ref="L126:R126"/>
    <mergeCell ref="O124:R124"/>
    <mergeCell ref="A125:C125"/>
    <mergeCell ref="D125:E125"/>
    <mergeCell ref="F125:G125"/>
    <mergeCell ref="H125:I125"/>
    <mergeCell ref="J125:K125"/>
    <mergeCell ref="L125:N125"/>
    <mergeCell ref="O125:R125"/>
    <mergeCell ref="A124:C124"/>
    <mergeCell ref="D124:E124"/>
    <mergeCell ref="F124:G124"/>
    <mergeCell ref="H124:I124"/>
    <mergeCell ref="J124:K124"/>
    <mergeCell ref="L124:N124"/>
    <mergeCell ref="O122:R122"/>
    <mergeCell ref="A123:C123"/>
    <mergeCell ref="D123:E123"/>
    <mergeCell ref="F123:G123"/>
    <mergeCell ref="H123:I123"/>
    <mergeCell ref="J123:K123"/>
    <mergeCell ref="L123:N123"/>
    <mergeCell ref="O123:R123"/>
    <mergeCell ref="A122:C122"/>
    <mergeCell ref="D122:E122"/>
    <mergeCell ref="F122:G122"/>
    <mergeCell ref="H122:I122"/>
    <mergeCell ref="J122:K122"/>
    <mergeCell ref="L122:N122"/>
    <mergeCell ref="N119:R119"/>
    <mergeCell ref="K120:R120"/>
    <mergeCell ref="A121:C121"/>
    <mergeCell ref="D121:E121"/>
    <mergeCell ref="F121:G121"/>
    <mergeCell ref="H121:I121"/>
    <mergeCell ref="J121:K121"/>
    <mergeCell ref="L121:N121"/>
    <mergeCell ref="O121:R121"/>
    <mergeCell ref="A119:B119"/>
    <mergeCell ref="D119:E119"/>
    <mergeCell ref="F119:G119"/>
    <mergeCell ref="H119:I119"/>
    <mergeCell ref="J119:K119"/>
    <mergeCell ref="L119:M119"/>
    <mergeCell ref="O117:R117"/>
    <mergeCell ref="A118:C118"/>
    <mergeCell ref="D118:E118"/>
    <mergeCell ref="F118:G118"/>
    <mergeCell ref="H118:I118"/>
    <mergeCell ref="J118:K118"/>
    <mergeCell ref="L118:N118"/>
    <mergeCell ref="O118:R118"/>
    <mergeCell ref="A117:C117"/>
    <mergeCell ref="D117:E117"/>
    <mergeCell ref="F117:G117"/>
    <mergeCell ref="H117:I117"/>
    <mergeCell ref="J117:K117"/>
    <mergeCell ref="L117:N117"/>
    <mergeCell ref="O115:R115"/>
    <mergeCell ref="A116:C116"/>
    <mergeCell ref="D116:E116"/>
    <mergeCell ref="F116:G116"/>
    <mergeCell ref="H116:I116"/>
    <mergeCell ref="J116:K116"/>
    <mergeCell ref="L116:N116"/>
    <mergeCell ref="O116:R116"/>
    <mergeCell ref="A115:C115"/>
    <mergeCell ref="D115:E115"/>
    <mergeCell ref="F115:G115"/>
    <mergeCell ref="H115:I115"/>
    <mergeCell ref="J115:K115"/>
    <mergeCell ref="L115:N115"/>
    <mergeCell ref="O112:R112"/>
    <mergeCell ref="A113:F113"/>
    <mergeCell ref="G113:R113"/>
    <mergeCell ref="A114:C114"/>
    <mergeCell ref="D114:E114"/>
    <mergeCell ref="F114:G114"/>
    <mergeCell ref="H114:I114"/>
    <mergeCell ref="J114:K114"/>
    <mergeCell ref="L114:N114"/>
    <mergeCell ref="O114:R114"/>
    <mergeCell ref="A112:B112"/>
    <mergeCell ref="D112:E112"/>
    <mergeCell ref="F112:G112"/>
    <mergeCell ref="H112:I112"/>
    <mergeCell ref="J112:K112"/>
    <mergeCell ref="L112:N112"/>
    <mergeCell ref="O110:R110"/>
    <mergeCell ref="A111:C111"/>
    <mergeCell ref="D111:E111"/>
    <mergeCell ref="F111:G111"/>
    <mergeCell ref="H111:I111"/>
    <mergeCell ref="J111:K111"/>
    <mergeCell ref="L111:N111"/>
    <mergeCell ref="O111:R111"/>
    <mergeCell ref="A110:C110"/>
    <mergeCell ref="D110:E110"/>
    <mergeCell ref="F110:G110"/>
    <mergeCell ref="H110:I110"/>
    <mergeCell ref="J110:K110"/>
    <mergeCell ref="L110:N110"/>
    <mergeCell ref="O108:R108"/>
    <mergeCell ref="A109:C109"/>
    <mergeCell ref="D109:E109"/>
    <mergeCell ref="F109:G109"/>
    <mergeCell ref="H109:I109"/>
    <mergeCell ref="J109:K109"/>
    <mergeCell ref="L109:N109"/>
    <mergeCell ref="O109:R109"/>
    <mergeCell ref="A108:C108"/>
    <mergeCell ref="D108:E108"/>
    <mergeCell ref="F108:G108"/>
    <mergeCell ref="H108:I108"/>
    <mergeCell ref="J108:K108"/>
    <mergeCell ref="L108:N108"/>
    <mergeCell ref="O105:R106"/>
    <mergeCell ref="A107:C107"/>
    <mergeCell ref="D107:E107"/>
    <mergeCell ref="F107:G107"/>
    <mergeCell ref="H107:I107"/>
    <mergeCell ref="J107:K107"/>
    <mergeCell ref="L107:N107"/>
    <mergeCell ref="O107:R107"/>
    <mergeCell ref="A105:C106"/>
    <mergeCell ref="D105:E106"/>
    <mergeCell ref="F105:G106"/>
    <mergeCell ref="H105:I106"/>
    <mergeCell ref="J105:K106"/>
    <mergeCell ref="L105:N106"/>
    <mergeCell ref="A103:B103"/>
    <mergeCell ref="D103:E103"/>
    <mergeCell ref="G103:H103"/>
    <mergeCell ref="M103:N103"/>
    <mergeCell ref="O103:R103"/>
    <mergeCell ref="A104:J104"/>
    <mergeCell ref="K104:R104"/>
    <mergeCell ref="A101:C101"/>
    <mergeCell ref="D101:E101"/>
    <mergeCell ref="G101:H101"/>
    <mergeCell ref="M101:N101"/>
    <mergeCell ref="O101:R101"/>
    <mergeCell ref="A102:C102"/>
    <mergeCell ref="D102:E102"/>
    <mergeCell ref="G102:H102"/>
    <mergeCell ref="M102:N102"/>
    <mergeCell ref="O102:R102"/>
    <mergeCell ref="O99:R99"/>
    <mergeCell ref="A100:C100"/>
    <mergeCell ref="D100:E100"/>
    <mergeCell ref="G100:H100"/>
    <mergeCell ref="M100:N100"/>
    <mergeCell ref="O100:R100"/>
    <mergeCell ref="G98:H98"/>
    <mergeCell ref="M98:N98"/>
    <mergeCell ref="A99:C99"/>
    <mergeCell ref="D99:E99"/>
    <mergeCell ref="G99:H99"/>
    <mergeCell ref="M99:N99"/>
    <mergeCell ref="B95:D95"/>
    <mergeCell ref="E95:I95"/>
    <mergeCell ref="J95:P95"/>
    <mergeCell ref="A96:D96"/>
    <mergeCell ref="E96:R96"/>
    <mergeCell ref="A97:C98"/>
    <mergeCell ref="D97:E98"/>
    <mergeCell ref="F97:I97"/>
    <mergeCell ref="K97:N97"/>
    <mergeCell ref="O97:R98"/>
    <mergeCell ref="A92:D92"/>
    <mergeCell ref="E92:I92"/>
    <mergeCell ref="J92:M92"/>
    <mergeCell ref="B94:D94"/>
    <mergeCell ref="E94:I94"/>
    <mergeCell ref="J94:P94"/>
    <mergeCell ref="A90:D90"/>
    <mergeCell ref="E90:I90"/>
    <mergeCell ref="J90:M90"/>
    <mergeCell ref="A91:D91"/>
    <mergeCell ref="E91:I91"/>
    <mergeCell ref="J91:N91"/>
    <mergeCell ref="A88:D88"/>
    <mergeCell ref="E88:I88"/>
    <mergeCell ref="J88:M88"/>
    <mergeCell ref="A89:D89"/>
    <mergeCell ref="E89:I89"/>
    <mergeCell ref="J89:N89"/>
    <mergeCell ref="A86:D86"/>
    <mergeCell ref="E86:I86"/>
    <mergeCell ref="J86:M86"/>
    <mergeCell ref="A87:D87"/>
    <mergeCell ref="E87:I87"/>
    <mergeCell ref="J87:N87"/>
    <mergeCell ref="A80:R80"/>
    <mergeCell ref="A81:R81"/>
    <mergeCell ref="A82:R82"/>
    <mergeCell ref="A84:R84"/>
    <mergeCell ref="A85:D85"/>
    <mergeCell ref="E85:I85"/>
    <mergeCell ref="J85:N85"/>
    <mergeCell ref="A78:E78"/>
    <mergeCell ref="F78:K78"/>
    <mergeCell ref="L78:N78"/>
    <mergeCell ref="O78:R78"/>
    <mergeCell ref="A79:E79"/>
    <mergeCell ref="F79:I79"/>
    <mergeCell ref="J79:K79"/>
    <mergeCell ref="L79:N79"/>
    <mergeCell ref="O79:R79"/>
    <mergeCell ref="A76:E76"/>
    <mergeCell ref="F76:K76"/>
    <mergeCell ref="L76:N76"/>
    <mergeCell ref="O76:R76"/>
    <mergeCell ref="A77:E77"/>
    <mergeCell ref="F77:I77"/>
    <mergeCell ref="J77:K77"/>
    <mergeCell ref="L77:N77"/>
    <mergeCell ref="O77:R77"/>
    <mergeCell ref="B72:D72"/>
    <mergeCell ref="F72:J72"/>
    <mergeCell ref="B73:D73"/>
    <mergeCell ref="F73:J73"/>
    <mergeCell ref="A74:R74"/>
    <mergeCell ref="A75:R75"/>
    <mergeCell ref="B68:D68"/>
    <mergeCell ref="F68:J68"/>
    <mergeCell ref="L68:R68"/>
    <mergeCell ref="B69:D69"/>
    <mergeCell ref="F69:J69"/>
    <mergeCell ref="L69:R73"/>
    <mergeCell ref="B70:D70"/>
    <mergeCell ref="F70:J70"/>
    <mergeCell ref="B71:D71"/>
    <mergeCell ref="F71:J71"/>
    <mergeCell ref="D65:R65"/>
    <mergeCell ref="B66:D66"/>
    <mergeCell ref="F66:J66"/>
    <mergeCell ref="L66:R66"/>
    <mergeCell ref="B67:D67"/>
    <mergeCell ref="F67:J67"/>
    <mergeCell ref="L67:R67"/>
    <mergeCell ref="A62:R62"/>
    <mergeCell ref="A63:B63"/>
    <mergeCell ref="C63:H63"/>
    <mergeCell ref="I63:R63"/>
    <mergeCell ref="A64:B64"/>
    <mergeCell ref="C64:H64"/>
    <mergeCell ref="I64:R64"/>
    <mergeCell ref="A58:R58"/>
    <mergeCell ref="A59:F59"/>
    <mergeCell ref="G59:J59"/>
    <mergeCell ref="K59:R59"/>
    <mergeCell ref="A60:R60"/>
    <mergeCell ref="A61:F61"/>
    <mergeCell ref="G61:J61"/>
    <mergeCell ref="K61:R61"/>
    <mergeCell ref="A55:F55"/>
    <mergeCell ref="G55:I55"/>
    <mergeCell ref="K55:M55"/>
    <mergeCell ref="N55:R55"/>
    <mergeCell ref="A56:R56"/>
    <mergeCell ref="A57:F57"/>
    <mergeCell ref="G57:J57"/>
    <mergeCell ref="K57:M57"/>
    <mergeCell ref="N57:R57"/>
    <mergeCell ref="A53:C53"/>
    <mergeCell ref="D53:E53"/>
    <mergeCell ref="F53:H53"/>
    <mergeCell ref="J53:Q53"/>
    <mergeCell ref="A54:F54"/>
    <mergeCell ref="G54:I54"/>
    <mergeCell ref="K54:M54"/>
    <mergeCell ref="N54:R54"/>
    <mergeCell ref="A51:C51"/>
    <mergeCell ref="D51:E51"/>
    <mergeCell ref="F51:H51"/>
    <mergeCell ref="J51:Q51"/>
    <mergeCell ref="A52:C52"/>
    <mergeCell ref="D52:E52"/>
    <mergeCell ref="F52:H52"/>
    <mergeCell ref="J52:Q52"/>
    <mergeCell ref="A45:R45"/>
    <mergeCell ref="A46:R46"/>
    <mergeCell ref="A49:R49"/>
    <mergeCell ref="A50:C50"/>
    <mergeCell ref="D50:E50"/>
    <mergeCell ref="F50:H50"/>
    <mergeCell ref="J50:Q50"/>
    <mergeCell ref="A39:R39"/>
    <mergeCell ref="A40:R40"/>
    <mergeCell ref="A41:R41"/>
    <mergeCell ref="A42:R42"/>
    <mergeCell ref="A43:R43"/>
    <mergeCell ref="A44:R44"/>
    <mergeCell ref="Q34:R34"/>
    <mergeCell ref="A35:B35"/>
    <mergeCell ref="Q35:R35"/>
    <mergeCell ref="A36:R36"/>
    <mergeCell ref="A37:R37"/>
    <mergeCell ref="A38:R38"/>
    <mergeCell ref="C28:P35"/>
    <mergeCell ref="A30:B30"/>
    <mergeCell ref="Q30:R30"/>
    <mergeCell ref="A31:B31"/>
    <mergeCell ref="Q31:R31"/>
    <mergeCell ref="A32:B32"/>
    <mergeCell ref="Q32:R32"/>
    <mergeCell ref="A33:B33"/>
    <mergeCell ref="Q33:R33"/>
    <mergeCell ref="A34:B34"/>
    <mergeCell ref="A22:R22"/>
    <mergeCell ref="A23:R23"/>
    <mergeCell ref="A24:R24"/>
    <mergeCell ref="A25:R25"/>
    <mergeCell ref="A26:R26"/>
    <mergeCell ref="A27:R27"/>
    <mergeCell ref="A16:R16"/>
    <mergeCell ref="A17:R17"/>
    <mergeCell ref="A18:R18"/>
    <mergeCell ref="A19:R19"/>
    <mergeCell ref="A20:R20"/>
    <mergeCell ref="A21:R21"/>
    <mergeCell ref="A10:R10"/>
    <mergeCell ref="A11:R11"/>
    <mergeCell ref="A12:R12"/>
    <mergeCell ref="A13:R13"/>
    <mergeCell ref="A14:R14"/>
    <mergeCell ref="A15:R15"/>
    <mergeCell ref="C7:P7"/>
    <mergeCell ref="A8:B8"/>
    <mergeCell ref="C8:L8"/>
    <mergeCell ref="M8:R8"/>
    <mergeCell ref="A9:B9"/>
    <mergeCell ref="C9:L9"/>
    <mergeCell ref="M9:R9"/>
    <mergeCell ref="A1:R1"/>
    <mergeCell ref="A2:R2"/>
    <mergeCell ref="C3:P3"/>
    <mergeCell ref="C4:P4"/>
    <mergeCell ref="C5:P5"/>
    <mergeCell ref="C6:P6"/>
  </mergeCells>
  <conditionalFormatting sqref="F107:F108">
    <cfRule type="expression" dxfId="3" priority="4">
      <formula>F107:F111&gt;70000</formula>
    </cfRule>
  </conditionalFormatting>
  <conditionalFormatting sqref="F109:F110">
    <cfRule type="expression" dxfId="2" priority="1">
      <formula>F109:F115&gt;69000</formula>
    </cfRule>
  </conditionalFormatting>
  <conditionalFormatting sqref="F111">
    <cfRule type="expression" dxfId="1" priority="2">
      <formula>F111:F118&gt;69000</formula>
    </cfRule>
  </conditionalFormatting>
  <conditionalFormatting sqref="F115:F118">
    <cfRule type="expression" dxfId="0" priority="3">
      <formula>F115:F118&gt;70000</formula>
    </cfRule>
  </conditionalFormatting>
  <dataValidations count="2">
    <dataValidation type="date" allowBlank="1" showInputMessage="1" showErrorMessage="1" errorTitle="Wrong Date Format" error="If the incorrect Format is input age will NOT be calculated! _x000a__x000a_Other elements will not function!" promptTitle="Enter Prospect's Date of Birth" prompt="Only MM-DD-YYYY &amp; MM/DD/YYYY Formats are accepted" sqref="J50:Q50 J52:Q52" xr:uid="{E2220542-6A3B-4C42-9684-B31B9D88B20F}">
      <formula1>367</formula1>
      <formula2>46023</formula2>
    </dataValidation>
    <dataValidation type="decimal" allowBlank="1" showInputMessage="1" showErrorMessage="1" sqref="O76:R76 O78:R78" xr:uid="{FFE30525-0F66-7241-9AEC-D7B0CC28C883}">
      <formula1>0</formula1>
      <formula2>120</formula2>
    </dataValidation>
  </dataValidations>
  <printOptions horizontalCentered="1" verticalCentered="1"/>
  <pageMargins left="0.25" right="0.25" top="0.45" bottom="0.45" header="0.3" footer="0.3"/>
  <pageSetup scale="96" orientation="portrait" r:id="rId1"/>
  <rowBreaks count="2" manualBreakCount="2">
    <brk id="95" max="17" man="1"/>
    <brk id="14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>
                <anchor moveWithCells="1">
                  <from>
                    <xdr:col>9</xdr:col>
                    <xdr:colOff>406400</xdr:colOff>
                    <xdr:row>168</xdr:row>
                    <xdr:rowOff>114300</xdr:rowOff>
                  </from>
                  <to>
                    <xdr:col>11</xdr:col>
                    <xdr:colOff>596900</xdr:colOff>
                    <xdr:row>170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locked="0" defaultSize="0" autoFill="0" autoLine="0" autoPict="0">
                <anchor moveWithCells="1">
                  <from>
                    <xdr:col>9</xdr:col>
                    <xdr:colOff>0</xdr:colOff>
                    <xdr:row>62</xdr:row>
                    <xdr:rowOff>12700</xdr:rowOff>
                  </from>
                  <to>
                    <xdr:col>10</xdr:col>
                    <xdr:colOff>190500</xdr:colOff>
                    <xdr:row>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locked="0" defaultSize="0" autoFill="0" autoLine="0" autoPict="0">
                <anchor moveWithCells="1">
                  <from>
                    <xdr:col>10</xdr:col>
                    <xdr:colOff>0</xdr:colOff>
                    <xdr:row>62</xdr:row>
                    <xdr:rowOff>0</xdr:rowOff>
                  </from>
                  <to>
                    <xdr:col>11</xdr:col>
                    <xdr:colOff>177800</xdr:colOff>
                    <xdr:row>63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locked="0" defaultSize="0" autoFill="0" autoLine="0" autoPict="0">
                <anchor moveWithCells="1">
                  <from>
                    <xdr:col>11</xdr:col>
                    <xdr:colOff>177800</xdr:colOff>
                    <xdr:row>62</xdr:row>
                    <xdr:rowOff>12700</xdr:rowOff>
                  </from>
                  <to>
                    <xdr:col>13</xdr:col>
                    <xdr:colOff>50800</xdr:colOff>
                    <xdr:row>63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locked="0" defaultSize="0" autoFill="0" autoLine="0" autoPict="0">
                <anchor moveWithCells="1">
                  <from>
                    <xdr:col>12</xdr:col>
                    <xdr:colOff>165100</xdr:colOff>
                    <xdr:row>62</xdr:row>
                    <xdr:rowOff>12700</xdr:rowOff>
                  </from>
                  <to>
                    <xdr:col>14</xdr:col>
                    <xdr:colOff>38100</xdr:colOff>
                    <xdr:row>63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locked="0" defaultSize="0" autoFill="0" autoLine="0" autoPict="0">
                <anchor moveWithCells="1">
                  <from>
                    <xdr:col>14</xdr:col>
                    <xdr:colOff>63500</xdr:colOff>
                    <xdr:row>84</xdr:row>
                    <xdr:rowOff>50800</xdr:rowOff>
                  </from>
                  <to>
                    <xdr:col>16</xdr:col>
                    <xdr:colOff>139700</xdr:colOff>
                    <xdr:row>85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locked="0" defaultSize="0" autoFill="0" autoLine="0" autoPict="0">
                <anchor moveWithCells="1">
                  <from>
                    <xdr:col>14</xdr:col>
                    <xdr:colOff>63500</xdr:colOff>
                    <xdr:row>86</xdr:row>
                    <xdr:rowOff>38100</xdr:rowOff>
                  </from>
                  <to>
                    <xdr:col>16</xdr:col>
                    <xdr:colOff>139700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locked="0" defaultSize="0" autoFill="0" autoLine="0" autoPict="0">
                <anchor moveWithCells="1">
                  <from>
                    <xdr:col>14</xdr:col>
                    <xdr:colOff>63500</xdr:colOff>
                    <xdr:row>88</xdr:row>
                    <xdr:rowOff>50800</xdr:rowOff>
                  </from>
                  <to>
                    <xdr:col>16</xdr:col>
                    <xdr:colOff>165100</xdr:colOff>
                    <xdr:row>89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locked="0" defaultSize="0" autoFill="0" autoLine="0" autoPict="0">
                <anchor moveWithCells="1">
                  <from>
                    <xdr:col>14</xdr:col>
                    <xdr:colOff>63500</xdr:colOff>
                    <xdr:row>90</xdr:row>
                    <xdr:rowOff>63500</xdr:rowOff>
                  </from>
                  <to>
                    <xdr:col>16</xdr:col>
                    <xdr:colOff>139700</xdr:colOff>
                    <xdr:row>91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locked="0" defaultSize="0" autoFill="0" autoLine="0" autoPict="0">
                <anchor moveWithCells="1">
                  <from>
                    <xdr:col>17</xdr:col>
                    <xdr:colOff>101600</xdr:colOff>
                    <xdr:row>84</xdr:row>
                    <xdr:rowOff>25400</xdr:rowOff>
                  </from>
                  <to>
                    <xdr:col>17</xdr:col>
                    <xdr:colOff>558800</xdr:colOff>
                    <xdr:row>85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locked="0" defaultSize="0" autoFill="0" autoLine="0" autoPict="0">
                <anchor moveWithCells="1">
                  <from>
                    <xdr:col>17</xdr:col>
                    <xdr:colOff>101600</xdr:colOff>
                    <xdr:row>86</xdr:row>
                    <xdr:rowOff>38100</xdr:rowOff>
                  </from>
                  <to>
                    <xdr:col>17</xdr:col>
                    <xdr:colOff>558800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locked="0" defaultSize="0" autoFill="0" autoLine="0" autoPict="0">
                <anchor moveWithCells="1">
                  <from>
                    <xdr:col>17</xdr:col>
                    <xdr:colOff>88900</xdr:colOff>
                    <xdr:row>88</xdr:row>
                    <xdr:rowOff>38100</xdr:rowOff>
                  </from>
                  <to>
                    <xdr:col>17</xdr:col>
                    <xdr:colOff>495300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locked="0" defaultSize="0" autoFill="0" autoLine="0" autoPict="0">
                <anchor moveWithCells="1">
                  <from>
                    <xdr:col>17</xdr:col>
                    <xdr:colOff>88900</xdr:colOff>
                    <xdr:row>90</xdr:row>
                    <xdr:rowOff>38100</xdr:rowOff>
                  </from>
                  <to>
                    <xdr:col>17</xdr:col>
                    <xdr:colOff>495300</xdr:colOff>
                    <xdr:row>91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locked="0" defaultSize="0" autoFill="0" autoLine="0" autoPict="0">
                <anchor moveWithCells="1">
                  <from>
                    <xdr:col>14</xdr:col>
                    <xdr:colOff>63500</xdr:colOff>
                    <xdr:row>62</xdr:row>
                    <xdr:rowOff>12700</xdr:rowOff>
                  </from>
                  <to>
                    <xdr:col>17</xdr:col>
                    <xdr:colOff>215900</xdr:colOff>
                    <xdr:row>63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locked="0" defaultSize="0" autoFill="0" autoLine="0" autoPict="0">
                <anchor moveWithCells="1">
                  <from>
                    <xdr:col>3</xdr:col>
                    <xdr:colOff>469900</xdr:colOff>
                    <xdr:row>168</xdr:row>
                    <xdr:rowOff>114300</xdr:rowOff>
                  </from>
                  <to>
                    <xdr:col>5</xdr:col>
                    <xdr:colOff>457200</xdr:colOff>
                    <xdr:row>170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locked="0" defaultSize="0" autoFill="0" autoLine="0" autoPict="0">
                <anchor moveWithCells="1">
                  <from>
                    <xdr:col>5</xdr:col>
                    <xdr:colOff>431800</xdr:colOff>
                    <xdr:row>168</xdr:row>
                    <xdr:rowOff>114300</xdr:rowOff>
                  </from>
                  <to>
                    <xdr:col>8</xdr:col>
                    <xdr:colOff>88900</xdr:colOff>
                    <xdr:row>170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locked="0" defaultSize="0" autoFill="0" autoLine="0" autoPict="0">
                <anchor moveWithCells="1">
                  <from>
                    <xdr:col>8</xdr:col>
                    <xdr:colOff>76200</xdr:colOff>
                    <xdr:row>168</xdr:row>
                    <xdr:rowOff>114300</xdr:rowOff>
                  </from>
                  <to>
                    <xdr:col>11</xdr:col>
                    <xdr:colOff>0</xdr:colOff>
                    <xdr:row>170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locked="0" defaultSize="0" autoFill="0" autoLine="0" autoPict="0">
                <anchor moveWithCells="1">
                  <from>
                    <xdr:col>3</xdr:col>
                    <xdr:colOff>469900</xdr:colOff>
                    <xdr:row>169</xdr:row>
                    <xdr:rowOff>203200</xdr:rowOff>
                  </from>
                  <to>
                    <xdr:col>5</xdr:col>
                    <xdr:colOff>457200</xdr:colOff>
                    <xdr:row>171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locked="0" defaultSize="0" autoFill="0" autoLine="0" autoPict="0">
                <anchor moveWithCells="1">
                  <from>
                    <xdr:col>5</xdr:col>
                    <xdr:colOff>444500</xdr:colOff>
                    <xdr:row>169</xdr:row>
                    <xdr:rowOff>203200</xdr:rowOff>
                  </from>
                  <to>
                    <xdr:col>8</xdr:col>
                    <xdr:colOff>101600</xdr:colOff>
                    <xdr:row>171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locked="0" defaultSize="0" autoFill="0" autoLine="0" autoPict="0">
                <anchor moveWithCells="1">
                  <from>
                    <xdr:col>8</xdr:col>
                    <xdr:colOff>76200</xdr:colOff>
                    <xdr:row>169</xdr:row>
                    <xdr:rowOff>203200</xdr:rowOff>
                  </from>
                  <to>
                    <xdr:col>10</xdr:col>
                    <xdr:colOff>381000</xdr:colOff>
                    <xdr:row>171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locked="0" defaultSize="0" autoFill="0" autoLine="0" autoPict="0">
                <anchor moveWithCells="1">
                  <from>
                    <xdr:col>9</xdr:col>
                    <xdr:colOff>406400</xdr:colOff>
                    <xdr:row>169</xdr:row>
                    <xdr:rowOff>203200</xdr:rowOff>
                  </from>
                  <to>
                    <xdr:col>11</xdr:col>
                    <xdr:colOff>596900</xdr:colOff>
                    <xdr:row>171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locked="0" defaultSize="0" autoFill="0" autoLine="0" autoPict="0">
                <anchor moveWithCells="1">
                  <from>
                    <xdr:col>11</xdr:col>
                    <xdr:colOff>101600</xdr:colOff>
                    <xdr:row>168</xdr:row>
                    <xdr:rowOff>127000</xdr:rowOff>
                  </from>
                  <to>
                    <xdr:col>13</xdr:col>
                    <xdr:colOff>355600</xdr:colOff>
                    <xdr:row>170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locked="0" defaultSize="0" autoFill="0" autoLine="0" autoPict="0">
                <anchor moveWithCells="1">
                  <from>
                    <xdr:col>11</xdr:col>
                    <xdr:colOff>101600</xdr:colOff>
                    <xdr:row>169</xdr:row>
                    <xdr:rowOff>190500</xdr:rowOff>
                  </from>
                  <to>
                    <xdr:col>13</xdr:col>
                    <xdr:colOff>355600</xdr:colOff>
                    <xdr:row>171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PQ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Jensen</dc:creator>
  <cp:lastModifiedBy>Michael Jensen</cp:lastModifiedBy>
  <dcterms:created xsi:type="dcterms:W3CDTF">2026-08-19T19:26:01Z</dcterms:created>
  <dcterms:modified xsi:type="dcterms:W3CDTF">2026-08-19T19:26:17Z</dcterms:modified>
</cp:coreProperties>
</file>